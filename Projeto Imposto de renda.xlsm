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ruga\Desktop\DIO\"/>
    </mc:Choice>
  </mc:AlternateContent>
  <xr:revisionPtr revIDLastSave="0" documentId="13_ncr:1_{D622A82A-3015-4E7D-8DD4-8C278021B660}" xr6:coauthVersionLast="47" xr6:coauthVersionMax="47" xr10:uidLastSave="{00000000-0000-0000-0000-000000000000}"/>
  <bookViews>
    <workbookView xWindow="-120" yWindow="-120" windowWidth="29040" windowHeight="15840" activeTab="5" xr2:uid="{022504D4-0A03-47D2-B685-E8C93E070128}"/>
  </bookViews>
  <sheets>
    <sheet name="COMO PREENCHER" sheetId="7" r:id="rId1"/>
    <sheet name="TÍTULAR" sheetId="1" r:id="rId2"/>
    <sheet name="INFORMES" sheetId="6" r:id="rId3"/>
    <sheet name="RECEITAS" sheetId="4" r:id="rId4"/>
    <sheet name="DESPESAS" sheetId="9" r:id="rId5"/>
    <sheet name="RESUMO FINANCEIRO" sheetId="15" r:id="rId6"/>
    <sheet name="TAB_DESP" sheetId="18" state="hidden" r:id="rId7"/>
    <sheet name="BASE" sheetId="16" state="hidden" r:id="rId8"/>
    <sheet name="BANCOS" sheetId="17" state="hidden" r:id="rId9"/>
  </sheets>
  <definedNames>
    <definedName name="_xleta.SUM" hidden="1" xlm="1">#NAME?</definedName>
  </definedNames>
  <calcPr calcId="191028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5" l="1"/>
  <c r="C9" i="15"/>
  <c r="E9" i="15" s="1"/>
  <c r="C7" i="6"/>
</calcChain>
</file>

<file path=xl/sharedStrings.xml><?xml version="1.0" encoding="utf-8"?>
<sst xmlns="http://schemas.openxmlformats.org/spreadsheetml/2006/main" count="194" uniqueCount="144">
  <si>
    <t>🎯 Objetivo da Planilha</t>
  </si>
  <si>
    <t>📌 Esta planilha organiza Receitas e Despesas, calcula automaticamente o Saldo Final e gera relatórios e gráficos.</t>
  </si>
  <si>
    <t>💡 Dicas:</t>
  </si>
  <si>
    <t>✔️ Use categorias consistentes para facilitar os gráficos.</t>
  </si>
  <si>
    <t>✔️ Não altere fórmulas nas células de resumo.</t>
  </si>
  <si>
    <t>✔️ Atualize os dados sempre que inserir novas despesas ou receitas.</t>
  </si>
  <si>
    <t>📋 Passo a Passo</t>
  </si>
  <si>
    <t>📌 Exemplo de Preenchimento</t>
  </si>
  <si>
    <t>💰 Aba RECEITAS</t>
  </si>
  <si>
    <t>Aba RECEITAS</t>
  </si>
  <si>
    <t xml:space="preserve">📅 Data → insira a data da entrada  </t>
  </si>
  <si>
    <t>DATA</t>
  </si>
  <si>
    <t>ORIGEM</t>
  </si>
  <si>
    <t>VALOR</t>
  </si>
  <si>
    <t xml:space="preserve">📋 Origem → exemplo: salário, vendas  </t>
  </si>
  <si>
    <t>Salário</t>
  </si>
  <si>
    <t>🔢 Valor → digite apenas números (sem “R$”)</t>
  </si>
  <si>
    <t>Freelance</t>
  </si>
  <si>
    <t xml:space="preserve">💰 Aba DESPESAS </t>
  </si>
  <si>
    <t>Aba DESPESAS</t>
  </si>
  <si>
    <t xml:space="preserve">📅 Data → insira a data da saída  </t>
  </si>
  <si>
    <t>CATEGORIA</t>
  </si>
  <si>
    <t xml:space="preserve">📋 Categoria → exemplo: alimentação, transporte  </t>
  </si>
  <si>
    <t>Alimentação</t>
  </si>
  <si>
    <t>Transporte</t>
  </si>
  <si>
    <t>📊 Campos de Resumo</t>
  </si>
  <si>
    <t xml:space="preserve">➕ Total Receitas → soma automática da aba RECEITAS  </t>
  </si>
  <si>
    <t xml:space="preserve">➖ Total Despesas → soma automática da aba DESPESAS  </t>
  </si>
  <si>
    <t>🧮 Saldo Final → diferença entre Receitas e Despesas</t>
  </si>
  <si>
    <t>1. DADOS DO TÍTULAR</t>
  </si>
  <si>
    <t>PREENCHA OS DADOS DA SUA PESSOA FÍSICA ABAIXO</t>
  </si>
  <si>
    <t>NOME</t>
  </si>
  <si>
    <t>FELIPE ARAUJO DIAS</t>
  </si>
  <si>
    <t>CPF</t>
  </si>
  <si>
    <t>NASCIMENTO</t>
  </si>
  <si>
    <t>TÍTULO DE ELEITOR</t>
  </si>
  <si>
    <t>CÔNJUGE</t>
  </si>
  <si>
    <t>LUCAS</t>
  </si>
  <si>
    <t>RUA</t>
  </si>
  <si>
    <t>RUA BARRA, RUA 103</t>
  </si>
  <si>
    <t>RUA ABREVIADA</t>
  </si>
  <si>
    <t>RUA BARRA, R. 104</t>
  </si>
  <si>
    <t>CEP</t>
  </si>
  <si>
    <t>TELEFONE</t>
  </si>
  <si>
    <t>CELULAR</t>
  </si>
  <si>
    <t>E-MAIL</t>
  </si>
  <si>
    <t>felipe@dominio.com</t>
  </si>
  <si>
    <t>HOUVE ALTERAÇÕES DA ENTRADA ANTERIOR</t>
  </si>
  <si>
    <t>NÃO</t>
  </si>
  <si>
    <t>DEPENDENTE CÔNJUGE</t>
  </si>
  <si>
    <t>RESIDENTE DO EXTERIOR</t>
  </si>
  <si>
    <t>2. INFORMES DE RENDIMENTOS BANCÁRIOS</t>
  </si>
  <si>
    <t>PREENCHA COM OS SEUS DADOS ATUAIS DE CADA BANCO</t>
  </si>
  <si>
    <t>TOTAL</t>
  </si>
  <si>
    <t>1º Banco</t>
  </si>
  <si>
    <t>BANCO</t>
  </si>
  <si>
    <t>33 - Banco Santander</t>
  </si>
  <si>
    <t>VALOR ATUAL</t>
  </si>
  <si>
    <t>ANEXO🖇</t>
  </si>
  <si>
    <t>topazao_2025.pdf</t>
  </si>
  <si>
    <t>2º Banco</t>
  </si>
  <si>
    <t>3º Banco</t>
  </si>
  <si>
    <t>3. NOTAS BANCÁRIAS OU EXTRATO DE HOLERITES</t>
  </si>
  <si>
    <t>SÃO TODOS OS VALORES DE ENTRADA MÊS A MÊS DE RECEITA</t>
  </si>
  <si>
    <t>ENTRADAS</t>
  </si>
  <si>
    <t>CNPJ</t>
  </si>
  <si>
    <t>FREELANCE</t>
  </si>
  <si>
    <t>4.DESPESAS SAÚDE, EDUCAÇÃO, DEPENDENTES, PREVIDÊNCIA(PGBL) e PENSÃO ALIMENTÍCIA</t>
  </si>
  <si>
    <t>SÃO TODOS OS VALORES DE DESPESAS MÊS A MÊS GASTOS</t>
  </si>
  <si>
    <t>DESPESAS</t>
  </si>
  <si>
    <t>TIPO</t>
  </si>
  <si>
    <t>MÉDICO</t>
  </si>
  <si>
    <t>PSIQUIATRA</t>
  </si>
  <si>
    <t>EDCUCAÇÃO</t>
  </si>
  <si>
    <t>ESCOLA</t>
  </si>
  <si>
    <t>PENSÃO</t>
  </si>
  <si>
    <t>PAULA</t>
  </si>
  <si>
    <t>EXAMES</t>
  </si>
  <si>
    <t>IMAGEM</t>
  </si>
  <si>
    <t>SANGUE</t>
  </si>
  <si>
    <t>FACULDADE</t>
  </si>
  <si>
    <t>CARLOS</t>
  </si>
  <si>
    <t>CARDIOLOGISTA</t>
  </si>
  <si>
    <t>ENDOCRINOLOGISTA</t>
  </si>
  <si>
    <t>5. RESUMO FINANCEIRO</t>
  </si>
  <si>
    <t>AS INFORMAÇÕES SÃO ATUALIZADAS AUTOMATICAMENTE</t>
  </si>
  <si>
    <t>💰 Total Receitas</t>
  </si>
  <si>
    <t>💸 Total Despesas</t>
  </si>
  <si>
    <t>📊 Saldo Final</t>
  </si>
  <si>
    <t>Rótulos de Linha</t>
  </si>
  <si>
    <t>Soma de VALOR</t>
  </si>
  <si>
    <t>(vazio)</t>
  </si>
  <si>
    <t>Total Geral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</si>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</sst>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&quot;00000&quot;-&quot;0000"/>
    <numFmt numFmtId="167" formatCode="&quot;(&quot;00&quot;)&quot;0000&quot;-&quot;0000"/>
    <numFmt numFmtId="168" formatCode="&quot;R$&quot;\ #,##0.00"/>
    <numFmt numFmtId="169" formatCode="[$-416]mmm\-yy;@"/>
  </numFmts>
  <fonts count="28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5"/>
      <color theme="5" tint="-0.249977111117893"/>
      <name val="Aptos Narrow"/>
      <family val="2"/>
      <scheme val="minor"/>
    </font>
    <font>
      <sz val="9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9"/>
      <name val="Segoe UI Light"/>
      <family val="2"/>
    </font>
    <font>
      <sz val="9"/>
      <color rgb="FF9C5700"/>
      <name val="Aptos Narrow"/>
      <family val="2"/>
      <scheme val="minor"/>
    </font>
    <font>
      <b/>
      <sz val="11"/>
      <color rgb="FF9C5700"/>
      <name val="Segoe UI Light"/>
      <family val="2"/>
    </font>
    <font>
      <i/>
      <sz val="8"/>
      <color theme="1"/>
      <name val="Segoe UI"/>
      <family val="2"/>
    </font>
    <font>
      <i/>
      <sz val="11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b/>
      <sz val="10"/>
      <color theme="1"/>
      <name val="Segoe UI"/>
      <family val="2"/>
    </font>
    <font>
      <sz val="12"/>
      <color theme="10"/>
      <name val="Aptos Narrow"/>
      <family val="2"/>
      <scheme val="minor"/>
    </font>
    <font>
      <sz val="14"/>
      <name val="Segoe UI Light"/>
      <family val="2"/>
    </font>
    <font>
      <sz val="14"/>
      <color rgb="FF9C5700"/>
      <name val="Aptos Narrow"/>
      <family val="2"/>
      <scheme val="minor"/>
    </font>
    <font>
      <u/>
      <sz val="14"/>
      <color theme="10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9"/>
      <color theme="1"/>
      <name val="Segoe UI"/>
      <family val="2"/>
    </font>
    <font>
      <i/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1"/>
      <color theme="1"/>
      <name val="Segoe UI"/>
    </font>
    <font>
      <sz val="12"/>
      <color theme="1"/>
      <name val="Segoe UI"/>
    </font>
    <font>
      <sz val="10"/>
      <color theme="1"/>
      <name val="Segoe UI"/>
    </font>
    <font>
      <u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EB9C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theme="3" tint="0.499984740745262"/>
      </bottom>
      <diagonal/>
    </border>
    <border>
      <left/>
      <right/>
      <top style="thick">
        <color theme="3" tint="0.499984740745262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14" fillId="0" borderId="0"/>
  </cellStyleXfs>
  <cellXfs count="57">
    <xf numFmtId="0" fontId="0" fillId="0" borderId="0" xfId="0"/>
    <xf numFmtId="0" fontId="0" fillId="2" borderId="0" xfId="0" applyFill="1"/>
    <xf numFmtId="0" fontId="3" fillId="0" borderId="4" xfId="1" applyFont="1" applyBorder="1"/>
    <xf numFmtId="0" fontId="1" fillId="0" borderId="4" xfId="1" applyBorder="1"/>
    <xf numFmtId="0" fontId="4" fillId="0" borderId="0" xfId="0" applyFont="1"/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15" fillId="0" borderId="2" xfId="0" applyFont="1" applyBorder="1" applyAlignment="1">
      <alignment horizontal="right"/>
    </xf>
    <xf numFmtId="0" fontId="16" fillId="3" borderId="3" xfId="2" applyFont="1" applyBorder="1" applyAlignment="1" applyProtection="1">
      <alignment horizontal="left"/>
      <protection locked="0"/>
    </xf>
    <xf numFmtId="164" fontId="16" fillId="3" borderId="3" xfId="2" applyNumberFormat="1" applyFont="1" applyBorder="1" applyAlignment="1" applyProtection="1">
      <alignment horizontal="left"/>
      <protection locked="0"/>
    </xf>
    <xf numFmtId="14" fontId="16" fillId="3" borderId="3" xfId="2" applyNumberFormat="1" applyFont="1" applyBorder="1" applyAlignment="1" applyProtection="1">
      <alignment horizontal="left"/>
      <protection locked="0"/>
    </xf>
    <xf numFmtId="3" fontId="16" fillId="3" borderId="3" xfId="2" applyNumberFormat="1" applyFont="1" applyBorder="1" applyAlignment="1" applyProtection="1">
      <alignment horizontal="left"/>
      <protection locked="0"/>
    </xf>
    <xf numFmtId="165" fontId="16" fillId="3" borderId="3" xfId="2" applyNumberFormat="1" applyFont="1" applyBorder="1" applyAlignment="1" applyProtection="1">
      <alignment horizontal="left"/>
      <protection locked="0"/>
    </xf>
    <xf numFmtId="167" fontId="16" fillId="3" borderId="3" xfId="2" applyNumberFormat="1" applyFont="1" applyBorder="1" applyAlignment="1" applyProtection="1">
      <alignment horizontal="left"/>
      <protection locked="0"/>
    </xf>
    <xf numFmtId="166" fontId="16" fillId="3" borderId="3" xfId="2" applyNumberFormat="1" applyFont="1" applyBorder="1" applyAlignment="1" applyProtection="1">
      <alignment horizontal="left"/>
      <protection locked="0"/>
    </xf>
    <xf numFmtId="0" fontId="17" fillId="3" borderId="3" xfId="3" applyFont="1" applyFill="1" applyBorder="1" applyAlignment="1" applyProtection="1">
      <alignment horizontal="left"/>
      <protection locked="0"/>
    </xf>
    <xf numFmtId="0" fontId="1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7" fontId="0" fillId="0" borderId="0" xfId="0" applyNumberFormat="1" applyAlignment="1">
      <alignment horizontal="center"/>
    </xf>
    <xf numFmtId="0" fontId="22" fillId="6" borderId="0" xfId="0" applyFont="1" applyFill="1"/>
    <xf numFmtId="0" fontId="0" fillId="0" borderId="0" xfId="0" applyAlignment="1">
      <alignment horizontal="left" indent="1"/>
    </xf>
    <xf numFmtId="0" fontId="21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/>
    </xf>
    <xf numFmtId="169" fontId="0" fillId="8" borderId="6" xfId="0" applyNumberFormat="1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168" fontId="0" fillId="8" borderId="6" xfId="0" applyNumberFormat="1" applyFill="1" applyBorder="1" applyAlignment="1">
      <alignment horizontal="center"/>
    </xf>
    <xf numFmtId="168" fontId="0" fillId="7" borderId="6" xfId="0" applyNumberFormat="1" applyFill="1" applyBorder="1" applyAlignment="1">
      <alignment horizontal="center"/>
    </xf>
    <xf numFmtId="0" fontId="7" fillId="0" borderId="7" xfId="0" applyFont="1" applyBorder="1" applyAlignment="1">
      <alignment horizontal="right"/>
    </xf>
    <xf numFmtId="168" fontId="8" fillId="3" borderId="7" xfId="2" applyNumberFormat="1" applyFont="1" applyBorder="1" applyAlignment="1">
      <alignment horizontal="left"/>
    </xf>
    <xf numFmtId="0" fontId="7" fillId="0" borderId="8" xfId="0" applyFont="1" applyBorder="1" applyAlignment="1">
      <alignment horizontal="right"/>
    </xf>
    <xf numFmtId="0" fontId="8" fillId="3" borderId="8" xfId="2" applyFont="1" applyBorder="1" applyAlignment="1">
      <alignment horizontal="left"/>
    </xf>
    <xf numFmtId="0" fontId="7" fillId="0" borderId="9" xfId="0" applyFont="1" applyBorder="1" applyAlignment="1">
      <alignment horizontal="right"/>
    </xf>
    <xf numFmtId="0" fontId="8" fillId="3" borderId="9" xfId="2" applyFont="1" applyBorder="1" applyAlignment="1">
      <alignment horizontal="left"/>
    </xf>
    <xf numFmtId="0" fontId="0" fillId="0" borderId="0" xfId="0" applyAlignment="1">
      <alignment horizontal="center"/>
    </xf>
    <xf numFmtId="0" fontId="24" fillId="0" borderId="0" xfId="0" applyFont="1"/>
    <xf numFmtId="0" fontId="26" fillId="0" borderId="0" xfId="0" applyFont="1"/>
    <xf numFmtId="0" fontId="24" fillId="4" borderId="0" xfId="0" applyFont="1" applyFill="1"/>
    <xf numFmtId="0" fontId="24" fillId="10" borderId="0" xfId="0" applyFont="1" applyFill="1"/>
    <xf numFmtId="0" fontId="0" fillId="10" borderId="0" xfId="0" applyFill="1"/>
    <xf numFmtId="0" fontId="26" fillId="10" borderId="0" xfId="0" applyFont="1" applyFill="1"/>
    <xf numFmtId="0" fontId="25" fillId="10" borderId="0" xfId="0" applyFont="1" applyFill="1"/>
    <xf numFmtId="0" fontId="24" fillId="9" borderId="0" xfId="0" applyFont="1" applyFill="1" applyAlignment="1">
      <alignment horizontal="center" vertical="center"/>
    </xf>
    <xf numFmtId="0" fontId="19" fillId="5" borderId="5" xfId="0" applyFont="1" applyFill="1" applyBorder="1" applyAlignment="1">
      <alignment horizontal="left" vertical="center" indent="3"/>
    </xf>
    <xf numFmtId="0" fontId="20" fillId="5" borderId="5" xfId="0" applyFont="1" applyFill="1" applyBorder="1" applyAlignment="1">
      <alignment horizontal="left" vertical="center" indent="3"/>
    </xf>
    <xf numFmtId="168" fontId="9" fillId="3" borderId="0" xfId="2" applyNumberFormat="1" applyFont="1" applyAlignment="1">
      <alignment horizontal="center"/>
    </xf>
    <xf numFmtId="0" fontId="9" fillId="3" borderId="0" xfId="2" applyFont="1" applyAlignment="1">
      <alignment horizontal="center"/>
    </xf>
    <xf numFmtId="0" fontId="10" fillId="5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5" borderId="5" xfId="0" applyFont="1" applyFill="1" applyBorder="1" applyAlignment="1">
      <alignment horizontal="left" vertical="center" indent="3"/>
    </xf>
    <xf numFmtId="0" fontId="11" fillId="5" borderId="5" xfId="0" applyFont="1" applyFill="1" applyBorder="1" applyAlignment="1">
      <alignment horizontal="left" vertical="center" indent="3"/>
    </xf>
    <xf numFmtId="0" fontId="12" fillId="4" borderId="0" xfId="0" applyFont="1" applyFill="1" applyAlignment="1">
      <alignment horizontal="center"/>
    </xf>
    <xf numFmtId="0" fontId="27" fillId="0" borderId="0" xfId="0" applyFont="1"/>
  </cellXfs>
  <cellStyles count="5">
    <cellStyle name="Hiperlink" xfId="3" builtinId="8"/>
    <cellStyle name="Hiperlink 2" xfId="4" xr:uid="{E270001A-C4E6-40A7-AB35-BD38992F44E4}"/>
    <cellStyle name="Neutro" xfId="2" builtinId="28"/>
    <cellStyle name="Normal" xfId="0" builtinId="0"/>
    <cellStyle name="Título 1" xfId="1" builtinId="16"/>
  </cellStyles>
  <dxfs count="37">
    <dxf>
      <numFmt numFmtId="168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numFmt numFmtId="168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Segoe UI Light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 outline="0">
        <top style="thin">
          <color theme="0" tint="-0.24994659260841701"/>
        </top>
      </border>
    </dxf>
    <dxf>
      <border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Segoe UI Light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 outline="0">
        <top style="thin">
          <color theme="0" tint="-0.24994659260841701"/>
        </top>
      </border>
    </dxf>
    <dxf>
      <border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Segoe UI Light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 outline="0">
        <top style="thin">
          <color theme="0" tint="-0.24994659260841701"/>
        </top>
      </border>
    </dxf>
    <dxf>
      <border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bottom style="thin">
          <color theme="0" tint="-0.2499465926084170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</dxf>
  </dxfs>
  <tableStyles count="0" defaultTableStyle="TableStyleMedium2" defaultPivotStyle="PivotStyleLight16"/>
  <colors>
    <mruColors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Imposto de renda.xlsm]TAB_DESP!Tab_desp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Distribuição das Despesas por Categoria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TAB_DESP!$B$3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451-4DA3-AE75-B1BAB940EC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51-4DA3-AE75-B1BAB940EC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451-4DA3-AE75-B1BAB940EC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451-4DA3-AE75-B1BAB940EC0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451-4DA3-AE75-B1BAB940EC0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451-4DA3-AE75-B1BAB940EC0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451-4DA3-AE75-B1BAB940EC0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451-4DA3-AE75-B1BAB940EC0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451-4DA3-AE75-B1BAB940EC0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451-4DA3-AE75-B1BAB940E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TAB_DESP!$A$4:$A$18</c:f>
              <c:multiLvlStrCache>
                <c:ptCount val="10"/>
                <c:lvl>
                  <c:pt idx="0">
                    <c:v>ESCOLA</c:v>
                  </c:pt>
                  <c:pt idx="1">
                    <c:v>FACULDADE</c:v>
                  </c:pt>
                  <c:pt idx="2">
                    <c:v>IMAGEM</c:v>
                  </c:pt>
                  <c:pt idx="3">
                    <c:v>SANGUE</c:v>
                  </c:pt>
                  <c:pt idx="4">
                    <c:v>PSIQUIATRA</c:v>
                  </c:pt>
                  <c:pt idx="5">
                    <c:v>CARDIOLOGISTA</c:v>
                  </c:pt>
                  <c:pt idx="6">
                    <c:v>ENDOCRINOLOGISTA</c:v>
                  </c:pt>
                  <c:pt idx="7">
                    <c:v>PAULA</c:v>
                  </c:pt>
                  <c:pt idx="8">
                    <c:v>CARLOS</c:v>
                  </c:pt>
                </c:lvl>
                <c:lvl>
                  <c:pt idx="0">
                    <c:v>EDCUCAÇÃO</c:v>
                  </c:pt>
                  <c:pt idx="2">
                    <c:v>EXAMES</c:v>
                  </c:pt>
                  <c:pt idx="4">
                    <c:v>MÉDICO</c:v>
                  </c:pt>
                  <c:pt idx="7">
                    <c:v>PENSÃO</c:v>
                  </c:pt>
                  <c:pt idx="9">
                    <c:v>(vazio)</c:v>
                  </c:pt>
                </c:lvl>
              </c:multiLvlStrCache>
            </c:multiLvlStrRef>
          </c:cat>
          <c:val>
            <c:numRef>
              <c:f>TAB_DESP!$B$4:$B$18</c:f>
              <c:numCache>
                <c:formatCode>General</c:formatCode>
                <c:ptCount val="10"/>
                <c:pt idx="0">
                  <c:v>500</c:v>
                </c:pt>
                <c:pt idx="1">
                  <c:v>1500</c:v>
                </c:pt>
                <c:pt idx="2">
                  <c:v>100</c:v>
                </c:pt>
                <c:pt idx="3">
                  <c:v>500</c:v>
                </c:pt>
                <c:pt idx="4">
                  <c:v>3000</c:v>
                </c:pt>
                <c:pt idx="5">
                  <c:v>400</c:v>
                </c:pt>
                <c:pt idx="6">
                  <c:v>200</c:v>
                </c:pt>
                <c:pt idx="7">
                  <c:v>1200</c:v>
                </c:pt>
                <c:pt idx="8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02-4501-B81E-2F23BB37C9B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RESUMO FINANCEIRO'!C1"/><Relationship Id="rId3" Type="http://schemas.openxmlformats.org/officeDocument/2006/relationships/hyperlink" Target="#RECEITAS!A1"/><Relationship Id="rId7" Type="http://schemas.openxmlformats.org/officeDocument/2006/relationships/hyperlink" Target="#DESPESAS!C1"/><Relationship Id="rId2" Type="http://schemas.openxmlformats.org/officeDocument/2006/relationships/hyperlink" Target="#INFORMES!A1"/><Relationship Id="rId1" Type="http://schemas.openxmlformats.org/officeDocument/2006/relationships/image" Target="../media/image1.png"/><Relationship Id="rId6" Type="http://schemas.openxmlformats.org/officeDocument/2006/relationships/hyperlink" Target="#INFORMES!C1"/><Relationship Id="rId5" Type="http://schemas.openxmlformats.org/officeDocument/2006/relationships/image" Target="../media/image2.png"/><Relationship Id="rId4" Type="http://schemas.openxmlformats.org/officeDocument/2006/relationships/hyperlink" Target="#T&#205;TULAR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DESPESAS!C1"/><Relationship Id="rId3" Type="http://schemas.openxmlformats.org/officeDocument/2006/relationships/hyperlink" Target="#RECEITAS!A1"/><Relationship Id="rId7" Type="http://schemas.openxmlformats.org/officeDocument/2006/relationships/image" Target="../media/image2.png"/><Relationship Id="rId2" Type="http://schemas.openxmlformats.org/officeDocument/2006/relationships/hyperlink" Target="#T&#205;TULAR!A1"/><Relationship Id="rId1" Type="http://schemas.openxmlformats.org/officeDocument/2006/relationships/image" Target="../media/image1.png"/><Relationship Id="rId6" Type="http://schemas.openxmlformats.org/officeDocument/2006/relationships/hyperlink" Target="#T&#205;TULAR!C1"/><Relationship Id="rId5" Type="http://schemas.openxmlformats.org/officeDocument/2006/relationships/hyperlink" Target="#NOTAS!C1"/><Relationship Id="rId4" Type="http://schemas.openxmlformats.org/officeDocument/2006/relationships/hyperlink" Target="#INFORMES!A1"/><Relationship Id="rId9" Type="http://schemas.openxmlformats.org/officeDocument/2006/relationships/hyperlink" Target="#'RESUMO FINANCEIRO'!C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'RESUMO FINANCEIRO'!C1"/><Relationship Id="rId2" Type="http://schemas.openxmlformats.org/officeDocument/2006/relationships/image" Target="../media/image1.png"/><Relationship Id="rId1" Type="http://schemas.openxmlformats.org/officeDocument/2006/relationships/hyperlink" Target="#RECEITAS!A1"/><Relationship Id="rId6" Type="http://schemas.openxmlformats.org/officeDocument/2006/relationships/hyperlink" Target="#NOTAS!C1"/><Relationship Id="rId5" Type="http://schemas.openxmlformats.org/officeDocument/2006/relationships/image" Target="../media/image2.png"/><Relationship Id="rId4" Type="http://schemas.openxmlformats.org/officeDocument/2006/relationships/hyperlink" Target="#T&#205;TULAR!C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RECEITAS!C1"/><Relationship Id="rId3" Type="http://schemas.openxmlformats.org/officeDocument/2006/relationships/hyperlink" Target="#INFORMES!C1"/><Relationship Id="rId7" Type="http://schemas.openxmlformats.org/officeDocument/2006/relationships/hyperlink" Target="#'RESUMO FINANCEIRO'!A1"/><Relationship Id="rId2" Type="http://schemas.openxmlformats.org/officeDocument/2006/relationships/image" Target="../media/image1.png"/><Relationship Id="rId1" Type="http://schemas.openxmlformats.org/officeDocument/2006/relationships/hyperlink" Target="#NOTAS!A1"/><Relationship Id="rId6" Type="http://schemas.openxmlformats.org/officeDocument/2006/relationships/hyperlink" Target="#RECEITAS!A1"/><Relationship Id="rId5" Type="http://schemas.openxmlformats.org/officeDocument/2006/relationships/image" Target="../media/image2.png"/><Relationship Id="rId4" Type="http://schemas.openxmlformats.org/officeDocument/2006/relationships/hyperlink" Target="#T&#205;TULAR!C1"/><Relationship Id="rId9" Type="http://schemas.openxmlformats.org/officeDocument/2006/relationships/hyperlink" Target="#'RESUMO FINANCEIRO'!C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INFORMES!C1"/><Relationship Id="rId3" Type="http://schemas.openxmlformats.org/officeDocument/2006/relationships/hyperlink" Target="#NOTAS!A1"/><Relationship Id="rId7" Type="http://schemas.openxmlformats.org/officeDocument/2006/relationships/chart" Target="../charts/chart1.xml"/><Relationship Id="rId2" Type="http://schemas.openxmlformats.org/officeDocument/2006/relationships/hyperlink" Target="#INFORMES!A1"/><Relationship Id="rId1" Type="http://schemas.openxmlformats.org/officeDocument/2006/relationships/image" Target="../media/image1.png"/><Relationship Id="rId6" Type="http://schemas.openxmlformats.org/officeDocument/2006/relationships/hyperlink" Target="#DESPESAS!C1"/><Relationship Id="rId5" Type="http://schemas.openxmlformats.org/officeDocument/2006/relationships/image" Target="../media/image2.png"/><Relationship Id="rId4" Type="http://schemas.openxmlformats.org/officeDocument/2006/relationships/hyperlink" Target="#T&#205;TULAR!A1"/><Relationship Id="rId9" Type="http://schemas.openxmlformats.org/officeDocument/2006/relationships/hyperlink" Target="#'RESUMO FINANCEIR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0</xdr:row>
      <xdr:rowOff>95250</xdr:rowOff>
    </xdr:from>
    <xdr:to>
      <xdr:col>8</xdr:col>
      <xdr:colOff>485775</xdr:colOff>
      <xdr:row>3</xdr:row>
      <xdr:rowOff>95250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9559579-C693-A26E-CCD0-D3B262E0C8FF}"/>
            </a:ext>
          </a:extLst>
        </xdr:cNvPr>
        <xdr:cNvSpPr/>
      </xdr:nvSpPr>
      <xdr:spPr>
        <a:xfrm>
          <a:off x="2162175" y="95250"/>
          <a:ext cx="3810000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COMO PREENCHER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51618</xdr:rowOff>
    </xdr:to>
    <xdr:sp macro="" textlink="">
      <xdr:nvSpPr>
        <xdr:cNvPr id="1029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BEAABD6C-3CA3-BEF8-1FFE-99A85FD23565}"/>
            </a:ext>
          </a:extLst>
        </xdr:cNvPr>
        <xdr:cNvSpPr>
          <a:spLocks noChangeAspect="1" noChangeArrowheads="1"/>
        </xdr:cNvSpPr>
      </xdr:nvSpPr>
      <xdr:spPr bwMode="auto">
        <a:xfrm>
          <a:off x="472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114300</xdr:rowOff>
    </xdr:to>
    <xdr:sp macro="" textlink="">
      <xdr:nvSpPr>
        <xdr:cNvPr id="1031" name="AutoShape 7">
          <a:extLst>
            <a:ext uri="{FF2B5EF4-FFF2-40B4-BE49-F238E27FC236}">
              <a16:creationId xmlns:a16="http://schemas.microsoft.com/office/drawing/2014/main" id="{5742BC31-56C5-73A5-804F-5829CBA42729}"/>
            </a:ext>
          </a:extLst>
        </xdr:cNvPr>
        <xdr:cNvSpPr>
          <a:spLocks noChangeAspect="1" noChangeArrowheads="1"/>
        </xdr:cNvSpPr>
      </xdr:nvSpPr>
      <xdr:spPr bwMode="auto">
        <a:xfrm>
          <a:off x="4724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1008893</xdr:colOff>
      <xdr:row>7</xdr:row>
      <xdr:rowOff>247704</xdr:rowOff>
    </xdr:from>
    <xdr:to>
      <xdr:col>0</xdr:col>
      <xdr:colOff>2512570</xdr:colOff>
      <xdr:row>13</xdr:row>
      <xdr:rowOff>245255</xdr:rowOff>
    </xdr:to>
    <xdr:pic>
      <xdr:nvPicPr>
        <xdr:cNvPr id="19" name="Imagem 9">
          <a:extLst>
            <a:ext uri="{FF2B5EF4-FFF2-40B4-BE49-F238E27FC236}">
              <a16:creationId xmlns:a16="http://schemas.microsoft.com/office/drawing/2014/main" id="{FDD62D2E-1FFD-4F7D-07E3-FFD69D6EF971}"/>
            </a:ext>
            <a:ext uri="{147F2762-F138-4A5C-976F-8EAC2B608ADB}">
              <a16:predDERef xmlns:a16="http://schemas.microsoft.com/office/drawing/2014/main" pred="{5742BC31-56C5-73A5-804F-5829CBA42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8893" y="1857429"/>
          <a:ext cx="1503677" cy="154060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97573</xdr:rowOff>
    </xdr:from>
    <xdr:to>
      <xdr:col>1</xdr:col>
      <xdr:colOff>114233</xdr:colOff>
      <xdr:row>6</xdr:row>
      <xdr:rowOff>213186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903262BC-E764-A1ED-82FF-E1E1752F5D97}"/>
            </a:ext>
          </a:extLst>
        </xdr:cNvPr>
        <xdr:cNvSpPr/>
      </xdr:nvSpPr>
      <xdr:spPr>
        <a:xfrm>
          <a:off x="0" y="288073"/>
          <a:ext cx="3502412" cy="1277663"/>
        </a:xfrm>
        <a:prstGeom prst="roundRect">
          <a:avLst>
            <a:gd name="adj" fmla="val 22682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3200">
              <a:gradFill>
                <a:gsLst>
                  <a:gs pos="51000">
                    <a:schemeClr val="accent2">
                      <a:lumMod val="50000"/>
                    </a:schemeClr>
                  </a:gs>
                  <a:gs pos="95000">
                    <a:schemeClr val="accent2">
                      <a:lumMod val="75000"/>
                    </a:schemeClr>
                  </a:gs>
                  <a:gs pos="23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</a:rPr>
            <a:t>LION</a:t>
          </a:r>
          <a:r>
            <a:rPr lang="pt-BR" sz="3200" baseline="0">
              <a:gradFill>
                <a:gsLst>
                  <a:gs pos="51000">
                    <a:schemeClr val="accent2">
                      <a:lumMod val="50000"/>
                    </a:schemeClr>
                  </a:gs>
                  <a:gs pos="95000">
                    <a:schemeClr val="accent2">
                      <a:lumMod val="75000"/>
                    </a:schemeClr>
                  </a:gs>
                  <a:gs pos="23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</a:rPr>
            <a:t> INFORME IR APP</a:t>
          </a:r>
        </a:p>
        <a:p>
          <a:pPr algn="ctr"/>
          <a:endParaRPr lang="pt-BR" sz="3600"/>
        </a:p>
      </xdr:txBody>
    </xdr:sp>
    <xdr:clientData/>
  </xdr:twoCellAnchor>
  <xdr:twoCellAnchor editAs="absolute">
    <xdr:from>
      <xdr:col>0</xdr:col>
      <xdr:colOff>242530</xdr:colOff>
      <xdr:row>19</xdr:row>
      <xdr:rowOff>26161</xdr:rowOff>
    </xdr:from>
    <xdr:to>
      <xdr:col>0</xdr:col>
      <xdr:colOff>3136473</xdr:colOff>
      <xdr:row>21</xdr:row>
      <xdr:rowOff>46757</xdr:rowOff>
    </xdr:to>
    <xdr:sp macro="" textlink="">
      <xdr:nvSpPr>
        <xdr:cNvPr id="15" name="Retângulo: Cantos Arredondados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8064F6-2361-4096-83E6-D6FC287B3DAB}"/>
            </a:ext>
          </a:extLst>
        </xdr:cNvPr>
        <xdr:cNvSpPr/>
      </xdr:nvSpPr>
      <xdr:spPr>
        <a:xfrm>
          <a:off x="242530" y="4714118"/>
          <a:ext cx="2893943" cy="517552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269033</xdr:colOff>
      <xdr:row>22</xdr:row>
      <xdr:rowOff>76533</xdr:rowOff>
    </xdr:from>
    <xdr:to>
      <xdr:col>0</xdr:col>
      <xdr:colOff>3093403</xdr:colOff>
      <xdr:row>25</xdr:row>
      <xdr:rowOff>35968</xdr:rowOff>
    </xdr:to>
    <xdr:sp macro="" textlink="">
      <xdr:nvSpPr>
        <xdr:cNvPr id="14" name="Retângulo: Cantos Arredondados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1D6B73-308A-4BB1-A32C-637441A05C1C}"/>
            </a:ext>
          </a:extLst>
        </xdr:cNvPr>
        <xdr:cNvSpPr/>
      </xdr:nvSpPr>
      <xdr:spPr>
        <a:xfrm>
          <a:off x="269033" y="5451946"/>
          <a:ext cx="2824370" cy="53093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RECEITAS</a:t>
          </a:r>
        </a:p>
      </xdr:txBody>
    </xdr:sp>
    <xdr:clientData/>
  </xdr:twoCellAnchor>
  <xdr:twoCellAnchor editAs="absolute">
    <xdr:from>
      <xdr:col>0</xdr:col>
      <xdr:colOff>211056</xdr:colOff>
      <xdr:row>15</xdr:row>
      <xdr:rowOff>85833</xdr:rowOff>
    </xdr:from>
    <xdr:to>
      <xdr:col>0</xdr:col>
      <xdr:colOff>3167947</xdr:colOff>
      <xdr:row>17</xdr:row>
      <xdr:rowOff>137870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EF1EE40-7F42-55C3-4BF1-06EC9352F5AB}"/>
            </a:ext>
          </a:extLst>
        </xdr:cNvPr>
        <xdr:cNvSpPr/>
      </xdr:nvSpPr>
      <xdr:spPr>
        <a:xfrm>
          <a:off x="211056" y="3746746"/>
          <a:ext cx="2956891" cy="565559"/>
        </a:xfrm>
        <a:prstGeom prst="roundRect">
          <a:avLst>
            <a:gd name="adj" fmla="val 50000"/>
          </a:avLst>
        </a:prstGeom>
        <a:gradFill flip="none" rotWithShape="1">
          <a:gsLst>
            <a:gs pos="78906">
              <a:schemeClr val="accent2">
                <a:lumMod val="65000"/>
                <a:alpha val="78000"/>
              </a:schemeClr>
            </a:gs>
            <a:gs pos="30000">
              <a:srgbClr val="00B0F0">
                <a:lumMod val="81000"/>
                <a:alpha val="83000"/>
              </a:srgbClr>
            </a:gs>
            <a:gs pos="70000">
              <a:schemeClr val="accent2">
                <a:alpha val="88000"/>
                <a:lumMod val="65000"/>
              </a:scheme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36</xdr:row>
      <xdr:rowOff>148930</xdr:rowOff>
    </xdr:from>
    <xdr:to>
      <xdr:col>1</xdr:col>
      <xdr:colOff>2071</xdr:colOff>
      <xdr:row>38</xdr:row>
      <xdr:rowOff>148930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EAE98978-CA83-09B8-4BBE-24A6CA24DF68}"/>
            </a:ext>
            <a:ext uri="{147F2762-F138-4A5C-976F-8EAC2B608ADB}">
              <a16:predDERef xmlns:a16="http://schemas.microsoft.com/office/drawing/2014/main" pred="{3EF1EE40-7F42-55C3-4BF1-06EC9352F5AB}"/>
            </a:ext>
          </a:extLst>
        </xdr:cNvPr>
        <xdr:cNvSpPr/>
      </xdr:nvSpPr>
      <xdr:spPr>
        <a:xfrm>
          <a:off x="0" y="7777213"/>
          <a:ext cx="3381375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Emoji" panose="020B0502040204020203" pitchFamily="34" charset="0"/>
              <a:ea typeface="Segoe UI Emoji" panose="020B0502040204020203" pitchFamily="34" charset="0"/>
            </a:rPr>
            <a:t>SYSTEM BY BG 💙</a:t>
          </a:r>
        </a:p>
      </xdr:txBody>
    </xdr:sp>
    <xdr:clientData/>
  </xdr:twoCellAnchor>
  <xdr:twoCellAnchor editAs="absolute">
    <xdr:from>
      <xdr:col>0</xdr:col>
      <xdr:colOff>728870</xdr:colOff>
      <xdr:row>37</xdr:row>
      <xdr:rowOff>10670</xdr:rowOff>
    </xdr:from>
    <xdr:to>
      <xdr:col>0</xdr:col>
      <xdr:colOff>2557670</xdr:colOff>
      <xdr:row>37</xdr:row>
      <xdr:rowOff>10670</xdr:rowOff>
    </xdr:to>
    <xdr:cxnSp macro="">
      <xdr:nvCxnSpPr>
        <xdr:cNvPr id="18" name="Conector reto 17">
          <a:extLst>
            <a:ext uri="{FF2B5EF4-FFF2-40B4-BE49-F238E27FC236}">
              <a16:creationId xmlns:a16="http://schemas.microsoft.com/office/drawing/2014/main" id="{D781E899-3B53-5E2F-E24B-DB693FAA0B03}"/>
            </a:ext>
          </a:extLst>
        </xdr:cNvPr>
        <xdr:cNvCxnSpPr/>
      </xdr:nvCxnSpPr>
      <xdr:spPr>
        <a:xfrm>
          <a:off x="728870" y="7829453"/>
          <a:ext cx="18288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1514475</xdr:colOff>
      <xdr:row>39</xdr:row>
      <xdr:rowOff>8264</xdr:rowOff>
    </xdr:from>
    <xdr:to>
      <xdr:col>0</xdr:col>
      <xdr:colOff>1914525</xdr:colOff>
      <xdr:row>41</xdr:row>
      <xdr:rowOff>27314</xdr:rowOff>
    </xdr:to>
    <xdr:pic>
      <xdr:nvPicPr>
        <xdr:cNvPr id="33" name="icon_link" descr="Ícones brancos de Linkedin – Baixe gratuitamente em SVG, PNG, GIF">
          <a:extLst>
            <a:ext uri="{FF2B5EF4-FFF2-40B4-BE49-F238E27FC236}">
              <a16:creationId xmlns:a16="http://schemas.microsoft.com/office/drawing/2014/main" id="{D1973088-F37D-93DF-DCBC-6DE53C451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8208047"/>
          <a:ext cx="4000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0</xdr:colOff>
      <xdr:row>11</xdr:row>
      <xdr:rowOff>0</xdr:rowOff>
    </xdr:from>
    <xdr:ext cx="304800" cy="306648"/>
    <xdr:sp macro="" textlink="">
      <xdr:nvSpPr>
        <xdr:cNvPr id="2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38E64AC0-C12F-4349-8EE7-D6CEE2C77903}"/>
            </a:ext>
          </a:extLst>
        </xdr:cNvPr>
        <xdr:cNvSpPr>
          <a:spLocks noChangeAspect="1" noChangeArrowheads="1"/>
        </xdr:cNvSpPr>
      </xdr:nvSpPr>
      <xdr:spPr bwMode="auto">
        <a:xfrm>
          <a:off x="7081345" y="2463362"/>
          <a:ext cx="304800" cy="306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absolute">
    <xdr:from>
      <xdr:col>2</xdr:col>
      <xdr:colOff>3126027</xdr:colOff>
      <xdr:row>21</xdr:row>
      <xdr:rowOff>13</xdr:rowOff>
    </xdr:from>
    <xdr:to>
      <xdr:col>3</xdr:col>
      <xdr:colOff>1773592</xdr:colOff>
      <xdr:row>22</xdr:row>
      <xdr:rowOff>78126</xdr:rowOff>
    </xdr:to>
    <xdr:sp macro="" textlink="">
      <xdr:nvSpPr>
        <xdr:cNvPr id="4" name="Retângulo: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70EAA35-C758-C690-6A8C-FF6ABFE54265}"/>
            </a:ext>
          </a:extLst>
        </xdr:cNvPr>
        <xdr:cNvSpPr/>
      </xdr:nvSpPr>
      <xdr:spPr>
        <a:xfrm>
          <a:off x="7116122" y="5187304"/>
          <a:ext cx="2457565" cy="27112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</a:p>
        <a:p>
          <a:pPr algn="ctr"/>
          <a:endParaRPr lang="pt-BR" sz="1100"/>
        </a:p>
      </xdr:txBody>
    </xdr:sp>
    <xdr:clientData/>
  </xdr:twoCellAnchor>
  <xdr:twoCellAnchor editAs="absolute">
    <xdr:from>
      <xdr:col>0</xdr:col>
      <xdr:colOff>441073</xdr:colOff>
      <xdr:row>27</xdr:row>
      <xdr:rowOff>6212</xdr:rowOff>
    </xdr:from>
    <xdr:to>
      <xdr:col>0</xdr:col>
      <xdr:colOff>2855104</xdr:colOff>
      <xdr:row>31</xdr:row>
      <xdr:rowOff>13542</xdr:rowOff>
    </xdr:to>
    <xdr:sp macro="" textlink="">
      <xdr:nvSpPr>
        <xdr:cNvPr id="5" name="Retângulo: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C77DD98-75A5-4E1B-9742-9FF7104FC715}"/>
            </a:ext>
          </a:extLst>
        </xdr:cNvPr>
        <xdr:cNvSpPr/>
      </xdr:nvSpPr>
      <xdr:spPr>
        <a:xfrm>
          <a:off x="441073" y="6259582"/>
          <a:ext cx="2414031" cy="429743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DESPESAS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2095</xdr:colOff>
      <xdr:row>31</xdr:row>
      <xdr:rowOff>161510</xdr:rowOff>
    </xdr:from>
    <xdr:to>
      <xdr:col>0</xdr:col>
      <xdr:colOff>3313044</xdr:colOff>
      <xdr:row>35</xdr:row>
      <xdr:rowOff>91108</xdr:rowOff>
    </xdr:to>
    <xdr:sp macro="" textlink="">
      <xdr:nvSpPr>
        <xdr:cNvPr id="3" name="Retângulo: Cantos Arredondados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7D4B637-B056-45BD-A2A8-868418C58261}"/>
            </a:ext>
          </a:extLst>
        </xdr:cNvPr>
        <xdr:cNvSpPr/>
      </xdr:nvSpPr>
      <xdr:spPr>
        <a:xfrm>
          <a:off x="2095" y="6837293"/>
          <a:ext cx="3310949" cy="69159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RESUMO FINANCEIRO</a:t>
          </a:r>
        </a:p>
        <a:p>
          <a:pPr algn="ctr"/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118853</xdr:rowOff>
    </xdr:to>
    <xdr:sp macro="" textlink="">
      <xdr:nvSpPr>
        <xdr:cNvPr id="2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F24C408E-1FF9-4317-93E3-86F97F4A8E48}"/>
            </a:ext>
          </a:extLst>
        </xdr:cNvPr>
        <xdr:cNvSpPr>
          <a:spLocks noChangeAspect="1" noChangeArrowheads="1"/>
        </xdr:cNvSpPr>
      </xdr:nvSpPr>
      <xdr:spPr bwMode="auto">
        <a:xfrm>
          <a:off x="7077075" y="2457450"/>
          <a:ext cx="304800" cy="3059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934C06C2-E407-47E5-A895-2EF6CBD0A14B}"/>
            </a:ext>
          </a:extLst>
        </xdr:cNvPr>
        <xdr:cNvSpPr>
          <a:spLocks noChangeAspect="1" noChangeArrowheads="1"/>
        </xdr:cNvSpPr>
      </xdr:nvSpPr>
      <xdr:spPr bwMode="auto">
        <a:xfrm>
          <a:off x="7077075" y="43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999368</xdr:colOff>
      <xdr:row>7</xdr:row>
      <xdr:rowOff>190349</xdr:rowOff>
    </xdr:from>
    <xdr:to>
      <xdr:col>0</xdr:col>
      <xdr:colOff>2503045</xdr:colOff>
      <xdr:row>16</xdr:row>
      <xdr:rowOff>19810</xdr:rowOff>
    </xdr:to>
    <xdr:pic>
      <xdr:nvPicPr>
        <xdr:cNvPr id="4" name="Imagem 9">
          <a:extLst>
            <a:ext uri="{FF2B5EF4-FFF2-40B4-BE49-F238E27FC236}">
              <a16:creationId xmlns:a16="http://schemas.microsoft.com/office/drawing/2014/main" id="{6FEE1654-F52C-4DD8-8A15-BF4C48ED08C0}"/>
            </a:ext>
            <a:ext uri="{147F2762-F138-4A5C-976F-8EAC2B608ADB}">
              <a16:predDERef xmlns:a16="http://schemas.microsoft.com/office/drawing/2014/main" pred="{5742BC31-56C5-73A5-804F-5829CBA42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9368" y="1611255"/>
          <a:ext cx="1503677" cy="151706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97573</xdr:rowOff>
    </xdr:from>
    <xdr:to>
      <xdr:col>1</xdr:col>
      <xdr:colOff>123968</xdr:colOff>
      <xdr:row>6</xdr:row>
      <xdr:rowOff>132680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6179E5D-E571-4921-BD07-A1E4F8CEAD34}"/>
            </a:ext>
          </a:extLst>
        </xdr:cNvPr>
        <xdr:cNvSpPr/>
      </xdr:nvSpPr>
      <xdr:spPr>
        <a:xfrm>
          <a:off x="0" y="97573"/>
          <a:ext cx="3502412" cy="1275038"/>
        </a:xfrm>
        <a:prstGeom prst="roundRect">
          <a:avLst>
            <a:gd name="adj" fmla="val 22682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3200">
              <a:gradFill>
                <a:gsLst>
                  <a:gs pos="51000">
                    <a:schemeClr val="accent2">
                      <a:lumMod val="50000"/>
                    </a:schemeClr>
                  </a:gs>
                  <a:gs pos="95000">
                    <a:schemeClr val="accent2">
                      <a:lumMod val="75000"/>
                    </a:schemeClr>
                  </a:gs>
                  <a:gs pos="23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</a:rPr>
            <a:t>LION</a:t>
          </a:r>
          <a:r>
            <a:rPr lang="pt-BR" sz="3200" baseline="0">
              <a:gradFill>
                <a:gsLst>
                  <a:gs pos="51000">
                    <a:schemeClr val="accent2">
                      <a:lumMod val="50000"/>
                    </a:schemeClr>
                  </a:gs>
                  <a:gs pos="95000">
                    <a:schemeClr val="accent2">
                      <a:lumMod val="75000"/>
                    </a:schemeClr>
                  </a:gs>
                  <a:gs pos="23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</a:rPr>
            <a:t> INFORME IR APP</a:t>
          </a:r>
        </a:p>
        <a:p>
          <a:pPr algn="ctr"/>
          <a:endParaRPr lang="pt-BR" sz="3600"/>
        </a:p>
      </xdr:txBody>
    </xdr:sp>
    <xdr:clientData/>
  </xdr:twoCellAnchor>
  <xdr:twoCellAnchor editAs="absolute">
    <xdr:from>
      <xdr:col>0</xdr:col>
      <xdr:colOff>213181</xdr:colOff>
      <xdr:row>17</xdr:row>
      <xdr:rowOff>10244</xdr:rowOff>
    </xdr:from>
    <xdr:to>
      <xdr:col>0</xdr:col>
      <xdr:colOff>3107124</xdr:colOff>
      <xdr:row>19</xdr:row>
      <xdr:rowOff>140537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7CC5D59-F0A6-4738-8D50-D64995D57D2C}"/>
            </a:ext>
          </a:extLst>
        </xdr:cNvPr>
        <xdr:cNvSpPr/>
      </xdr:nvSpPr>
      <xdr:spPr>
        <a:xfrm>
          <a:off x="213181" y="3334469"/>
          <a:ext cx="2893943" cy="511293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241803</xdr:colOff>
      <xdr:row>26</xdr:row>
      <xdr:rowOff>23659</xdr:rowOff>
    </xdr:from>
    <xdr:to>
      <xdr:col>0</xdr:col>
      <xdr:colOff>3066173</xdr:colOff>
      <xdr:row>28</xdr:row>
      <xdr:rowOff>173594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04CC031-231B-406D-8739-35354468DB3F}"/>
            </a:ext>
          </a:extLst>
        </xdr:cNvPr>
        <xdr:cNvSpPr/>
      </xdr:nvSpPr>
      <xdr:spPr>
        <a:xfrm>
          <a:off x="241803" y="5062384"/>
          <a:ext cx="2824370" cy="53093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RECEITAS</a:t>
          </a:r>
        </a:p>
      </xdr:txBody>
    </xdr:sp>
    <xdr:clientData/>
  </xdr:twoCellAnchor>
  <xdr:twoCellAnchor editAs="absolute">
    <xdr:from>
      <xdr:col>0</xdr:col>
      <xdr:colOff>204118</xdr:colOff>
      <xdr:row>21</xdr:row>
      <xdr:rowOff>137711</xdr:rowOff>
    </xdr:from>
    <xdr:to>
      <xdr:col>0</xdr:col>
      <xdr:colOff>3161009</xdr:colOff>
      <xdr:row>24</xdr:row>
      <xdr:rowOff>133718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E094AFC-5D78-49D5-8399-4AD761A2D6DA}"/>
            </a:ext>
          </a:extLst>
        </xdr:cNvPr>
        <xdr:cNvSpPr/>
      </xdr:nvSpPr>
      <xdr:spPr>
        <a:xfrm>
          <a:off x="204118" y="4223936"/>
          <a:ext cx="2956891" cy="567507"/>
        </a:xfrm>
        <a:prstGeom prst="roundRect">
          <a:avLst>
            <a:gd name="adj" fmla="val 50000"/>
          </a:avLst>
        </a:prstGeom>
        <a:gradFill flip="none" rotWithShape="1">
          <a:gsLst>
            <a:gs pos="78906">
              <a:schemeClr val="accent2">
                <a:lumMod val="65000"/>
                <a:alpha val="78000"/>
              </a:schemeClr>
            </a:gs>
            <a:gs pos="30000">
              <a:srgbClr val="00B0F0">
                <a:lumMod val="81000"/>
                <a:alpha val="83000"/>
              </a:srgbClr>
            </a:gs>
            <a:gs pos="70000">
              <a:schemeClr val="accent2">
                <a:alpha val="88000"/>
                <a:lumMod val="65000"/>
              </a:scheme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oneCellAnchor>
    <xdr:from>
      <xdr:col>1</xdr:col>
      <xdr:colOff>0</xdr:colOff>
      <xdr:row>11</xdr:row>
      <xdr:rowOff>0</xdr:rowOff>
    </xdr:from>
    <xdr:ext cx="304800" cy="306648"/>
    <xdr:sp macro="" textlink="">
      <xdr:nvSpPr>
        <xdr:cNvPr id="12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9B5A1962-D3D7-479B-A45D-E76688AC3B2A}"/>
            </a:ext>
          </a:extLst>
        </xdr:cNvPr>
        <xdr:cNvSpPr>
          <a:spLocks noChangeAspect="1" noChangeArrowheads="1"/>
        </xdr:cNvSpPr>
      </xdr:nvSpPr>
      <xdr:spPr bwMode="auto">
        <a:xfrm>
          <a:off x="7077075" y="2247900"/>
          <a:ext cx="304800" cy="306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114300</xdr:rowOff>
    </xdr:to>
    <xdr:sp macro="" textlink="">
      <xdr:nvSpPr>
        <xdr:cNvPr id="16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6D1D9417-FF31-4BEE-A817-A92A09F3D4D0}"/>
            </a:ext>
          </a:extLst>
        </xdr:cNvPr>
        <xdr:cNvSpPr>
          <a:spLocks noChangeAspect="1" noChangeArrowheads="1"/>
        </xdr:cNvSpPr>
      </xdr:nvSpPr>
      <xdr:spPr bwMode="auto">
        <a:xfrm>
          <a:off x="6943725" y="27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236918</xdr:colOff>
      <xdr:row>25</xdr:row>
      <xdr:rowOff>48789</xdr:rowOff>
    </xdr:from>
    <xdr:to>
      <xdr:col>4</xdr:col>
      <xdr:colOff>184561</xdr:colOff>
      <xdr:row>26</xdr:row>
      <xdr:rowOff>129409</xdr:rowOff>
    </xdr:to>
    <xdr:sp macro="" textlink="">
      <xdr:nvSpPr>
        <xdr:cNvPr id="18" name="Retângulo: Cantos Arredondados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B2EF542-D721-434B-BF88-D3A2FE24C892}"/>
            </a:ext>
          </a:extLst>
        </xdr:cNvPr>
        <xdr:cNvSpPr/>
      </xdr:nvSpPr>
      <xdr:spPr>
        <a:xfrm>
          <a:off x="6532943" y="4897014"/>
          <a:ext cx="2452718" cy="27112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➡</a:t>
          </a:r>
        </a:p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532840</xdr:colOff>
      <xdr:row>25</xdr:row>
      <xdr:rowOff>41462</xdr:rowOff>
    </xdr:from>
    <xdr:to>
      <xdr:col>3</xdr:col>
      <xdr:colOff>66986</xdr:colOff>
      <xdr:row>26</xdr:row>
      <xdr:rowOff>122082</xdr:rowOff>
    </xdr:to>
    <xdr:sp macro="" textlink="">
      <xdr:nvSpPr>
        <xdr:cNvPr id="19" name="Retângulo: Cantos Arredondados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26ADA0E-5376-4F35-ACF9-78B32CE1E249}"/>
            </a:ext>
          </a:extLst>
        </xdr:cNvPr>
        <xdr:cNvSpPr/>
      </xdr:nvSpPr>
      <xdr:spPr>
        <a:xfrm>
          <a:off x="3914215" y="4889687"/>
          <a:ext cx="2448796" cy="27112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⬅ </a:t>
          </a:r>
          <a:r>
            <a:rPr lang="pt-BR" sz="1100"/>
            <a:t>ANTERIOR</a:t>
          </a:r>
        </a:p>
      </xdr:txBody>
    </xdr:sp>
    <xdr:clientData/>
  </xdr:twoCellAnchor>
  <xdr:twoCellAnchor>
    <xdr:from>
      <xdr:col>0</xdr:col>
      <xdr:colOff>0</xdr:colOff>
      <xdr:row>37</xdr:row>
      <xdr:rowOff>147778</xdr:rowOff>
    </xdr:from>
    <xdr:to>
      <xdr:col>0</xdr:col>
      <xdr:colOff>3429000</xdr:colOff>
      <xdr:row>39</xdr:row>
      <xdr:rowOff>147778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454EBBF6-2ED6-45F6-9044-F87D9FFEC483}"/>
            </a:ext>
            <a:ext uri="{147F2762-F138-4A5C-976F-8EAC2B608ADB}">
              <a16:predDERef xmlns:a16="http://schemas.microsoft.com/office/drawing/2014/main" pred="{3EF1EE40-7F42-55C3-4BF1-06EC9352F5AB}"/>
            </a:ext>
          </a:extLst>
        </xdr:cNvPr>
        <xdr:cNvSpPr/>
      </xdr:nvSpPr>
      <xdr:spPr>
        <a:xfrm>
          <a:off x="0" y="7284201"/>
          <a:ext cx="3429000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Emoji" panose="020B0502040204020203" pitchFamily="34" charset="0"/>
              <a:ea typeface="Segoe UI Emoji" panose="020B0502040204020203" pitchFamily="34" charset="0"/>
            </a:rPr>
            <a:t>SYSTEM BY BG 💙</a:t>
          </a:r>
        </a:p>
      </xdr:txBody>
    </xdr:sp>
    <xdr:clientData/>
  </xdr:twoCellAnchor>
  <xdr:twoCellAnchor editAs="absolute">
    <xdr:from>
      <xdr:col>0</xdr:col>
      <xdr:colOff>800100</xdr:colOff>
      <xdr:row>37</xdr:row>
      <xdr:rowOff>93527</xdr:rowOff>
    </xdr:from>
    <xdr:to>
      <xdr:col>0</xdr:col>
      <xdr:colOff>2628900</xdr:colOff>
      <xdr:row>37</xdr:row>
      <xdr:rowOff>93527</xdr:rowOff>
    </xdr:to>
    <xdr:cxnSp macro="">
      <xdr:nvCxnSpPr>
        <xdr:cNvPr id="21" name="Conector reto 20">
          <a:extLst>
            <a:ext uri="{FF2B5EF4-FFF2-40B4-BE49-F238E27FC236}">
              <a16:creationId xmlns:a16="http://schemas.microsoft.com/office/drawing/2014/main" id="{C6C1F3A0-04F9-4F17-834B-76EA8B3AD16F}"/>
            </a:ext>
          </a:extLst>
        </xdr:cNvPr>
        <xdr:cNvCxnSpPr/>
      </xdr:nvCxnSpPr>
      <xdr:spPr>
        <a:xfrm>
          <a:off x="800100" y="7229950"/>
          <a:ext cx="18288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1514475</xdr:colOff>
      <xdr:row>40</xdr:row>
      <xdr:rowOff>7112</xdr:rowOff>
    </xdr:from>
    <xdr:to>
      <xdr:col>0</xdr:col>
      <xdr:colOff>1914525</xdr:colOff>
      <xdr:row>42</xdr:row>
      <xdr:rowOff>26162</xdr:rowOff>
    </xdr:to>
    <xdr:pic>
      <xdr:nvPicPr>
        <xdr:cNvPr id="22" name="icon_link" descr="Ícones brancos de Linkedin – Baixe gratuitamente em SVG, PNG, GIF">
          <a:extLst>
            <a:ext uri="{FF2B5EF4-FFF2-40B4-BE49-F238E27FC236}">
              <a16:creationId xmlns:a16="http://schemas.microsoft.com/office/drawing/2014/main" id="{FB08CF0E-5DE7-4FA1-BE57-B010D0F94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7715035"/>
          <a:ext cx="4000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452804</xdr:colOff>
      <xdr:row>30</xdr:row>
      <xdr:rowOff>32972</xdr:rowOff>
    </xdr:from>
    <xdr:to>
      <xdr:col>0</xdr:col>
      <xdr:colOff>2866835</xdr:colOff>
      <xdr:row>32</xdr:row>
      <xdr:rowOff>82957</xdr:rowOff>
    </xdr:to>
    <xdr:sp macro="" textlink="">
      <xdr:nvSpPr>
        <xdr:cNvPr id="9" name="Retângulo: Cantos Arredondado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E21004F-57E9-46B3-B6B0-6C2BD760271B}"/>
            </a:ext>
          </a:extLst>
        </xdr:cNvPr>
        <xdr:cNvSpPr/>
      </xdr:nvSpPr>
      <xdr:spPr>
        <a:xfrm>
          <a:off x="452804" y="5833697"/>
          <a:ext cx="2414031" cy="43098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DESPESAS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33</xdr:row>
      <xdr:rowOff>47625</xdr:rowOff>
    </xdr:from>
    <xdr:to>
      <xdr:col>0</xdr:col>
      <xdr:colOff>3310949</xdr:colOff>
      <xdr:row>36</xdr:row>
      <xdr:rowOff>167723</xdr:rowOff>
    </xdr:to>
    <xdr:sp macro="" textlink="">
      <xdr:nvSpPr>
        <xdr:cNvPr id="10" name="Retângulo: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7841B95-B976-4B23-A9B9-40CC5C77A0DB}"/>
            </a:ext>
          </a:extLst>
        </xdr:cNvPr>
        <xdr:cNvSpPr/>
      </xdr:nvSpPr>
      <xdr:spPr>
        <a:xfrm>
          <a:off x="0" y="6419850"/>
          <a:ext cx="3310949" cy="69159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RESUMO FINANCEIRO</a:t>
          </a:r>
        </a:p>
        <a:p>
          <a:pPr algn="ctr"/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288000</xdr:colOff>
      <xdr:row>24</xdr:row>
      <xdr:rowOff>183714</xdr:rowOff>
    </xdr:from>
    <xdr:to>
      <xdr:col>0</xdr:col>
      <xdr:colOff>3247269</xdr:colOff>
      <xdr:row>27</xdr:row>
      <xdr:rowOff>143240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97797A-4465-4340-877A-C0CF105978E6}"/>
            </a:ext>
          </a:extLst>
        </xdr:cNvPr>
        <xdr:cNvSpPr/>
      </xdr:nvSpPr>
      <xdr:spPr>
        <a:xfrm>
          <a:off x="288000" y="4830257"/>
          <a:ext cx="2959269" cy="531026"/>
        </a:xfrm>
        <a:prstGeom prst="roundRect">
          <a:avLst>
            <a:gd name="adj" fmla="val 50000"/>
          </a:avLst>
        </a:prstGeom>
        <a:gradFill flip="none" rotWithShape="1">
          <a:gsLst>
            <a:gs pos="78906">
              <a:schemeClr val="accent2">
                <a:lumMod val="65000"/>
                <a:alpha val="78000"/>
              </a:schemeClr>
            </a:gs>
            <a:gs pos="30000">
              <a:srgbClr val="00B0F0">
                <a:lumMod val="81000"/>
                <a:alpha val="83000"/>
              </a:srgbClr>
            </a:gs>
            <a:gs pos="70000">
              <a:schemeClr val="accent2">
                <a:alpha val="88000"/>
                <a:lumMod val="65000"/>
              </a:scheme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RECEITAS</a:t>
          </a:r>
        </a:p>
      </xdr:txBody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114300</xdr:rowOff>
    </xdr:to>
    <xdr:sp macro="" textlink="">
      <xdr:nvSpPr>
        <xdr:cNvPr id="2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00CB583B-B48F-467B-9CE2-BAEF4DD2D29E}"/>
            </a:ext>
          </a:extLst>
        </xdr:cNvPr>
        <xdr:cNvSpPr>
          <a:spLocks noChangeAspect="1" noChangeArrowheads="1"/>
        </xdr:cNvSpPr>
      </xdr:nvSpPr>
      <xdr:spPr bwMode="auto">
        <a:xfrm>
          <a:off x="5334000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114300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8F3ABB0F-BC7A-4F59-A491-44E605575FDB}"/>
            </a:ext>
          </a:extLst>
        </xdr:cNvPr>
        <xdr:cNvSpPr>
          <a:spLocks noChangeAspect="1" noChangeArrowheads="1"/>
        </xdr:cNvSpPr>
      </xdr:nvSpPr>
      <xdr:spPr bwMode="auto">
        <a:xfrm>
          <a:off x="5334000" y="317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975572</xdr:colOff>
      <xdr:row>6</xdr:row>
      <xdr:rowOff>189804</xdr:rowOff>
    </xdr:from>
    <xdr:to>
      <xdr:col>0</xdr:col>
      <xdr:colOff>2479249</xdr:colOff>
      <xdr:row>14</xdr:row>
      <xdr:rowOff>180279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6AD7176-A356-43DD-993C-E75E538F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5572" y="1407347"/>
          <a:ext cx="1503677" cy="15144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152400</xdr:rowOff>
    </xdr:from>
    <xdr:to>
      <xdr:col>1</xdr:col>
      <xdr:colOff>120526</xdr:colOff>
      <xdr:row>7</xdr:row>
      <xdr:rowOff>13189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24D6C7-24B0-4107-8176-ECED272B6366}"/>
            </a:ext>
          </a:extLst>
        </xdr:cNvPr>
        <xdr:cNvSpPr/>
      </xdr:nvSpPr>
      <xdr:spPr>
        <a:xfrm>
          <a:off x="0" y="152400"/>
          <a:ext cx="3505200" cy="1266825"/>
        </a:xfrm>
        <a:prstGeom prst="roundRect">
          <a:avLst>
            <a:gd name="adj" fmla="val 22682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3200">
              <a:gradFill>
                <a:gsLst>
                  <a:gs pos="51000">
                    <a:schemeClr val="accent2">
                      <a:lumMod val="50000"/>
                    </a:schemeClr>
                  </a:gs>
                  <a:gs pos="95000">
                    <a:schemeClr val="accent2">
                      <a:lumMod val="75000"/>
                    </a:schemeClr>
                  </a:gs>
                  <a:gs pos="23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</a:rPr>
            <a:t>LION</a:t>
          </a:r>
          <a:r>
            <a:rPr lang="pt-BR" sz="3200" baseline="0">
              <a:gradFill>
                <a:gsLst>
                  <a:gs pos="51000">
                    <a:schemeClr val="accent2">
                      <a:lumMod val="50000"/>
                    </a:schemeClr>
                  </a:gs>
                  <a:gs pos="95000">
                    <a:schemeClr val="accent2">
                      <a:lumMod val="75000"/>
                    </a:schemeClr>
                  </a:gs>
                  <a:gs pos="23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</a:rPr>
            <a:t> INFORME IR APP</a:t>
          </a:r>
        </a:p>
        <a:p>
          <a:pPr algn="ctr"/>
          <a:endParaRPr lang="pt-BR" sz="3600"/>
        </a:p>
      </xdr:txBody>
    </xdr:sp>
    <xdr:clientData/>
  </xdr:twoCellAnchor>
  <xdr:twoCellAnchor editAs="absolute">
    <xdr:from>
      <xdr:col>0</xdr:col>
      <xdr:colOff>536204</xdr:colOff>
      <xdr:row>20</xdr:row>
      <xdr:rowOff>186707</xdr:rowOff>
    </xdr:from>
    <xdr:to>
      <xdr:col>0</xdr:col>
      <xdr:colOff>2950235</xdr:colOff>
      <xdr:row>23</xdr:row>
      <xdr:rowOff>46192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20072C-AD2A-4DA8-BAA2-1258E3EB082C}"/>
            </a:ext>
          </a:extLst>
        </xdr:cNvPr>
        <xdr:cNvSpPr/>
      </xdr:nvSpPr>
      <xdr:spPr>
        <a:xfrm>
          <a:off x="536204" y="4071250"/>
          <a:ext cx="2414031" cy="43098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505259</xdr:colOff>
      <xdr:row>16</xdr:row>
      <xdr:rowOff>96015</xdr:rowOff>
    </xdr:from>
    <xdr:to>
      <xdr:col>0</xdr:col>
      <xdr:colOff>2981179</xdr:colOff>
      <xdr:row>19</xdr:row>
      <xdr:rowOff>2230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C705ED-8B4F-42FD-9D7E-2CA404950389}"/>
            </a:ext>
          </a:extLst>
        </xdr:cNvPr>
        <xdr:cNvSpPr/>
      </xdr:nvSpPr>
      <xdr:spPr>
        <a:xfrm>
          <a:off x="505259" y="3218558"/>
          <a:ext cx="2475920" cy="47771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36</xdr:row>
      <xdr:rowOff>100305</xdr:rowOff>
    </xdr:from>
    <xdr:to>
      <xdr:col>1</xdr:col>
      <xdr:colOff>0</xdr:colOff>
      <xdr:row>38</xdr:row>
      <xdr:rowOff>100305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E3345D5-45E7-4A76-B6FE-0F1ADB691472}"/>
            </a:ext>
          </a:extLst>
        </xdr:cNvPr>
        <xdr:cNvSpPr/>
      </xdr:nvSpPr>
      <xdr:spPr>
        <a:xfrm>
          <a:off x="0" y="7030564"/>
          <a:ext cx="3507828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Emoji" panose="020B0502040204020203" pitchFamily="34" charset="0"/>
              <a:ea typeface="Segoe UI Emoji" panose="020B0502040204020203" pitchFamily="34" charset="0"/>
            </a:rPr>
            <a:t>SYSTEM BY BG 💙</a:t>
          </a:r>
        </a:p>
      </xdr:txBody>
    </xdr:sp>
    <xdr:clientData/>
  </xdr:twoCellAnchor>
  <xdr:twoCellAnchor editAs="absolute">
    <xdr:from>
      <xdr:col>0</xdr:col>
      <xdr:colOff>851387</xdr:colOff>
      <xdr:row>36</xdr:row>
      <xdr:rowOff>39492</xdr:rowOff>
    </xdr:from>
    <xdr:to>
      <xdr:col>0</xdr:col>
      <xdr:colOff>2680187</xdr:colOff>
      <xdr:row>36</xdr:row>
      <xdr:rowOff>39492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1EAF1607-EFD1-4C87-B7E5-00ED586EAB0C}"/>
            </a:ext>
          </a:extLst>
        </xdr:cNvPr>
        <xdr:cNvCxnSpPr/>
      </xdr:nvCxnSpPr>
      <xdr:spPr>
        <a:xfrm>
          <a:off x="851387" y="6969751"/>
          <a:ext cx="18288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1551109</xdr:colOff>
      <xdr:row>38</xdr:row>
      <xdr:rowOff>52680</xdr:rowOff>
    </xdr:from>
    <xdr:to>
      <xdr:col>0</xdr:col>
      <xdr:colOff>1951159</xdr:colOff>
      <xdr:row>40</xdr:row>
      <xdr:rowOff>71730</xdr:rowOff>
    </xdr:to>
    <xdr:pic>
      <xdr:nvPicPr>
        <xdr:cNvPr id="11" name="Imagem 10" descr="Ícones brancos de Linkedin – Baixe gratuitamente em SVG, PNG, GIF">
          <a:extLst>
            <a:ext uri="{FF2B5EF4-FFF2-40B4-BE49-F238E27FC236}">
              <a16:creationId xmlns:a16="http://schemas.microsoft.com/office/drawing/2014/main" id="{6C35D4FD-6505-45F0-8092-D504C1ACE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1109" y="7363939"/>
          <a:ext cx="4000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139463</xdr:colOff>
      <xdr:row>4</xdr:row>
      <xdr:rowOff>21981</xdr:rowOff>
    </xdr:from>
    <xdr:to>
      <xdr:col>2</xdr:col>
      <xdr:colOff>1157906</xdr:colOff>
      <xdr:row>5</xdr:row>
      <xdr:rowOff>14654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C4148E-EC21-41E3-8D07-4C3A61BFB6EC}"/>
            </a:ext>
          </a:extLst>
        </xdr:cNvPr>
        <xdr:cNvSpPr/>
      </xdr:nvSpPr>
      <xdr:spPr>
        <a:xfrm>
          <a:off x="4125057" y="857250"/>
          <a:ext cx="1018443" cy="18317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/>
            <a:t>⬅ </a:t>
          </a:r>
          <a:r>
            <a:rPr lang="pt-BR" sz="800"/>
            <a:t>ANTERIOR</a:t>
          </a:r>
        </a:p>
      </xdr:txBody>
    </xdr:sp>
    <xdr:clientData/>
  </xdr:two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13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4D690329-591B-4D9E-873E-3C1A85ECE0C2}"/>
            </a:ext>
          </a:extLst>
        </xdr:cNvPr>
        <xdr:cNvSpPr>
          <a:spLocks noChangeAspect="1" noChangeArrowheads="1"/>
        </xdr:cNvSpPr>
      </xdr:nvSpPr>
      <xdr:spPr bwMode="auto">
        <a:xfrm>
          <a:off x="5495192" y="21687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716017</xdr:colOff>
      <xdr:row>17</xdr:row>
      <xdr:rowOff>0</xdr:rowOff>
    </xdr:from>
    <xdr:ext cx="304800" cy="304800"/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5C9C89EB-BDBD-41C1-B858-2C90738FB52A}"/>
            </a:ext>
          </a:extLst>
        </xdr:cNvPr>
        <xdr:cNvSpPr>
          <a:spLocks noChangeAspect="1" noChangeArrowheads="1"/>
        </xdr:cNvSpPr>
      </xdr:nvSpPr>
      <xdr:spPr bwMode="auto">
        <a:xfrm>
          <a:off x="11594224" y="331075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absolute">
    <xdr:from>
      <xdr:col>3</xdr:col>
      <xdr:colOff>937073</xdr:colOff>
      <xdr:row>27</xdr:row>
      <xdr:rowOff>20465</xdr:rowOff>
    </xdr:from>
    <xdr:to>
      <xdr:col>4</xdr:col>
      <xdr:colOff>1673093</xdr:colOff>
      <xdr:row>28</xdr:row>
      <xdr:rowOff>101085</xdr:rowOff>
    </xdr:to>
    <xdr:sp macro="" textlink="">
      <xdr:nvSpPr>
        <xdr:cNvPr id="22" name="Retângulo: Cantos Arredondados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6F3CADB-349A-4DD2-BCFE-8F8296A97311}"/>
            </a:ext>
          </a:extLst>
        </xdr:cNvPr>
        <xdr:cNvSpPr/>
      </xdr:nvSpPr>
      <xdr:spPr>
        <a:xfrm>
          <a:off x="6645504" y="5236224"/>
          <a:ext cx="2450520" cy="27112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➡</a:t>
          </a:r>
        </a:p>
        <a:p>
          <a:pPr algn="ctr"/>
          <a:endParaRPr lang="pt-BR" sz="1100"/>
        </a:p>
      </xdr:txBody>
    </xdr:sp>
    <xdr:clientData/>
  </xdr:twoCellAnchor>
  <xdr:twoCellAnchor editAs="absolute">
    <xdr:from>
      <xdr:col>2</xdr:col>
      <xdr:colOff>32845</xdr:colOff>
      <xdr:row>27</xdr:row>
      <xdr:rowOff>13138</xdr:rowOff>
    </xdr:from>
    <xdr:to>
      <xdr:col>3</xdr:col>
      <xdr:colOff>767141</xdr:colOff>
      <xdr:row>28</xdr:row>
      <xdr:rowOff>93758</xdr:rowOff>
    </xdr:to>
    <xdr:sp macro="" textlink="">
      <xdr:nvSpPr>
        <xdr:cNvPr id="23" name="Retângulo: Cantos Arredondado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1A8933-3B1A-4F8D-A81F-DE8D3F12C42F}"/>
            </a:ext>
          </a:extLst>
        </xdr:cNvPr>
        <xdr:cNvSpPr/>
      </xdr:nvSpPr>
      <xdr:spPr>
        <a:xfrm>
          <a:off x="4026776" y="5228897"/>
          <a:ext cx="2448796" cy="27112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⬅ </a:t>
          </a:r>
          <a:r>
            <a:rPr lang="pt-BR" sz="1100"/>
            <a:t>ANTERIOR</a:t>
          </a:r>
        </a:p>
      </xdr:txBody>
    </xdr:sp>
    <xdr:clientData/>
  </xdr:twoCellAnchor>
  <xdr:twoCellAnchor editAs="absolute">
    <xdr:from>
      <xdr:col>0</xdr:col>
      <xdr:colOff>461542</xdr:colOff>
      <xdr:row>29</xdr:row>
      <xdr:rowOff>58836</xdr:rowOff>
    </xdr:from>
    <xdr:to>
      <xdr:col>0</xdr:col>
      <xdr:colOff>2875573</xdr:colOff>
      <xdr:row>31</xdr:row>
      <xdr:rowOff>108821</xdr:rowOff>
    </xdr:to>
    <xdr:sp macro="" textlink="">
      <xdr:nvSpPr>
        <xdr:cNvPr id="24" name="Retângulo: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BE59DA-6C4F-48E0-BE9E-8AD00753F895}"/>
            </a:ext>
          </a:extLst>
        </xdr:cNvPr>
        <xdr:cNvSpPr/>
      </xdr:nvSpPr>
      <xdr:spPr>
        <a:xfrm>
          <a:off x="461542" y="5657879"/>
          <a:ext cx="2414031" cy="43098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DESPESAS</a:t>
          </a:r>
        </a:p>
      </xdr:txBody>
    </xdr:sp>
    <xdr:clientData/>
  </xdr:twoCellAnchor>
  <xdr:twoCellAnchor editAs="absolute">
    <xdr:from>
      <xdr:col>0</xdr:col>
      <xdr:colOff>24849</xdr:colOff>
      <xdr:row>32</xdr:row>
      <xdr:rowOff>99391</xdr:rowOff>
    </xdr:from>
    <xdr:to>
      <xdr:col>0</xdr:col>
      <xdr:colOff>3335798</xdr:colOff>
      <xdr:row>36</xdr:row>
      <xdr:rowOff>28989</xdr:rowOff>
    </xdr:to>
    <xdr:sp macro="" textlink="">
      <xdr:nvSpPr>
        <xdr:cNvPr id="15" name="Retângulo: Cantos Arredondado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81FC331-EDF0-47D9-B560-590C9E876C4D}"/>
            </a:ext>
          </a:extLst>
        </xdr:cNvPr>
        <xdr:cNvSpPr/>
      </xdr:nvSpPr>
      <xdr:spPr>
        <a:xfrm>
          <a:off x="24849" y="6269934"/>
          <a:ext cx="3310949" cy="69159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RESUMO FINANCEIRO</a:t>
          </a:r>
        </a:p>
        <a:p>
          <a:pPr algn="ctr"/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271435</xdr:colOff>
      <xdr:row>28</xdr:row>
      <xdr:rowOff>183714</xdr:rowOff>
    </xdr:from>
    <xdr:to>
      <xdr:col>0</xdr:col>
      <xdr:colOff>3230704</xdr:colOff>
      <xdr:row>31</xdr:row>
      <xdr:rowOff>143240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53B39D-7B2A-478E-9ED0-FD6D4A9D8EE5}"/>
            </a:ext>
          </a:extLst>
        </xdr:cNvPr>
        <xdr:cNvSpPr/>
      </xdr:nvSpPr>
      <xdr:spPr>
        <a:xfrm>
          <a:off x="271435" y="5592257"/>
          <a:ext cx="2959269" cy="531026"/>
        </a:xfrm>
        <a:prstGeom prst="roundRect">
          <a:avLst>
            <a:gd name="adj" fmla="val 50000"/>
          </a:avLst>
        </a:prstGeom>
        <a:gradFill flip="none" rotWithShape="1">
          <a:gsLst>
            <a:gs pos="78906">
              <a:schemeClr val="accent2">
                <a:lumMod val="65000"/>
                <a:alpha val="78000"/>
              </a:schemeClr>
            </a:gs>
            <a:gs pos="30000">
              <a:srgbClr val="00B0F0">
                <a:lumMod val="81000"/>
                <a:alpha val="83000"/>
              </a:srgbClr>
            </a:gs>
            <a:gs pos="70000">
              <a:schemeClr val="accent2">
                <a:alpha val="88000"/>
                <a:lumMod val="65000"/>
              </a:scheme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DESPESAS</a:t>
          </a:r>
        </a:p>
      </xdr:txBody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114300</xdr:rowOff>
    </xdr:to>
    <xdr:sp macro="" textlink="">
      <xdr:nvSpPr>
        <xdr:cNvPr id="3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A5C97467-A0C0-44C0-8FAD-47DAA89DC559}"/>
            </a:ext>
          </a:extLst>
        </xdr:cNvPr>
        <xdr:cNvSpPr>
          <a:spLocks noChangeAspect="1" noChangeArrowheads="1"/>
        </xdr:cNvSpPr>
      </xdr:nvSpPr>
      <xdr:spPr bwMode="auto">
        <a:xfrm>
          <a:off x="5495925" y="21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114300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85692E29-115A-4CCE-8252-5E3D98D9DCE2}"/>
            </a:ext>
          </a:extLst>
        </xdr:cNvPr>
        <xdr:cNvSpPr>
          <a:spLocks noChangeAspect="1" noChangeArrowheads="1"/>
        </xdr:cNvSpPr>
      </xdr:nvSpPr>
      <xdr:spPr bwMode="auto">
        <a:xfrm>
          <a:off x="5495925" y="331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983854</xdr:colOff>
      <xdr:row>8</xdr:row>
      <xdr:rowOff>7586</xdr:rowOff>
    </xdr:from>
    <xdr:to>
      <xdr:col>0</xdr:col>
      <xdr:colOff>2487531</xdr:colOff>
      <xdr:row>15</xdr:row>
      <xdr:rowOff>188561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86AE6E7-8813-4D26-B4A0-98319F469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3854" y="1607786"/>
          <a:ext cx="1503677" cy="15144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152400</xdr:rowOff>
    </xdr:from>
    <xdr:to>
      <xdr:col>1</xdr:col>
      <xdr:colOff>124893</xdr:colOff>
      <xdr:row>7</xdr:row>
      <xdr:rowOff>13189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7F951FD-9145-44F1-B533-E141D4B40ED9}"/>
            </a:ext>
          </a:extLst>
        </xdr:cNvPr>
        <xdr:cNvSpPr/>
      </xdr:nvSpPr>
      <xdr:spPr>
        <a:xfrm>
          <a:off x="0" y="152400"/>
          <a:ext cx="3505200" cy="1270489"/>
        </a:xfrm>
        <a:prstGeom prst="roundRect">
          <a:avLst>
            <a:gd name="adj" fmla="val 22682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3200">
              <a:gradFill>
                <a:gsLst>
                  <a:gs pos="51000">
                    <a:schemeClr val="accent2">
                      <a:lumMod val="50000"/>
                    </a:schemeClr>
                  </a:gs>
                  <a:gs pos="95000">
                    <a:schemeClr val="accent2">
                      <a:lumMod val="75000"/>
                    </a:schemeClr>
                  </a:gs>
                  <a:gs pos="23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</a:rPr>
            <a:t>LION</a:t>
          </a:r>
          <a:r>
            <a:rPr lang="pt-BR" sz="3200" baseline="0">
              <a:gradFill>
                <a:gsLst>
                  <a:gs pos="51000">
                    <a:schemeClr val="accent2">
                      <a:lumMod val="50000"/>
                    </a:schemeClr>
                  </a:gs>
                  <a:gs pos="95000">
                    <a:schemeClr val="accent2">
                      <a:lumMod val="75000"/>
                    </a:schemeClr>
                  </a:gs>
                  <a:gs pos="23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</a:rPr>
            <a:t> INFORME IR APP</a:t>
          </a:r>
        </a:p>
        <a:p>
          <a:pPr algn="ctr"/>
          <a:endParaRPr lang="pt-BR" sz="3600"/>
        </a:p>
      </xdr:txBody>
    </xdr:sp>
    <xdr:clientData/>
  </xdr:twoCellAnchor>
  <xdr:twoCellAnchor editAs="absolute">
    <xdr:from>
      <xdr:col>0</xdr:col>
      <xdr:colOff>535771</xdr:colOff>
      <xdr:row>21</xdr:row>
      <xdr:rowOff>103881</xdr:rowOff>
    </xdr:from>
    <xdr:to>
      <xdr:col>0</xdr:col>
      <xdr:colOff>2949802</xdr:colOff>
      <xdr:row>23</xdr:row>
      <xdr:rowOff>153866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AD9713-D1CD-4C9C-B40C-85921D7271DD}"/>
            </a:ext>
          </a:extLst>
        </xdr:cNvPr>
        <xdr:cNvSpPr/>
      </xdr:nvSpPr>
      <xdr:spPr>
        <a:xfrm>
          <a:off x="535771" y="4178924"/>
          <a:ext cx="2414031" cy="43098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504826</xdr:colOff>
      <xdr:row>17</xdr:row>
      <xdr:rowOff>13189</xdr:rowOff>
    </xdr:from>
    <xdr:to>
      <xdr:col>0</xdr:col>
      <xdr:colOff>2980746</xdr:colOff>
      <xdr:row>19</xdr:row>
      <xdr:rowOff>109904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5D98EB-7174-4DAA-A445-412DD6CA33EE}"/>
            </a:ext>
          </a:extLst>
        </xdr:cNvPr>
        <xdr:cNvSpPr/>
      </xdr:nvSpPr>
      <xdr:spPr>
        <a:xfrm>
          <a:off x="504826" y="3326232"/>
          <a:ext cx="2475920" cy="47771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36</xdr:row>
      <xdr:rowOff>169421</xdr:rowOff>
    </xdr:from>
    <xdr:to>
      <xdr:col>1</xdr:col>
      <xdr:colOff>414</xdr:colOff>
      <xdr:row>38</xdr:row>
      <xdr:rowOff>169421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C9316B4E-CAE2-4E5A-8866-3A13290804E4}"/>
            </a:ext>
          </a:extLst>
        </xdr:cNvPr>
        <xdr:cNvSpPr/>
      </xdr:nvSpPr>
      <xdr:spPr>
        <a:xfrm>
          <a:off x="0" y="7101964"/>
          <a:ext cx="3379718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Emoji" panose="020B0502040204020203" pitchFamily="34" charset="0"/>
              <a:ea typeface="Segoe UI Emoji" panose="020B0502040204020203" pitchFamily="34" charset="0"/>
            </a:rPr>
            <a:t>SYSTEM BY BG 💙</a:t>
          </a:r>
        </a:p>
      </xdr:txBody>
    </xdr:sp>
    <xdr:clientData/>
  </xdr:twoCellAnchor>
  <xdr:twoCellAnchor editAs="absolute">
    <xdr:from>
      <xdr:col>0</xdr:col>
      <xdr:colOff>775459</xdr:colOff>
      <xdr:row>36</xdr:row>
      <xdr:rowOff>108608</xdr:rowOff>
    </xdr:from>
    <xdr:to>
      <xdr:col>0</xdr:col>
      <xdr:colOff>2604259</xdr:colOff>
      <xdr:row>36</xdr:row>
      <xdr:rowOff>108608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FCDF479A-1A34-413D-AB68-09F311BC159D}"/>
            </a:ext>
          </a:extLst>
        </xdr:cNvPr>
        <xdr:cNvCxnSpPr/>
      </xdr:nvCxnSpPr>
      <xdr:spPr>
        <a:xfrm>
          <a:off x="775459" y="7041151"/>
          <a:ext cx="18288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1489834</xdr:colOff>
      <xdr:row>38</xdr:row>
      <xdr:rowOff>121796</xdr:rowOff>
    </xdr:from>
    <xdr:to>
      <xdr:col>0</xdr:col>
      <xdr:colOff>1889884</xdr:colOff>
      <xdr:row>40</xdr:row>
      <xdr:rowOff>140846</xdr:rowOff>
    </xdr:to>
    <xdr:pic>
      <xdr:nvPicPr>
        <xdr:cNvPr id="11" name="Imagem 10" descr="Ícones brancos de Linkedin – Baixe gratuitamente em SVG, PNG, GIF">
          <a:extLst>
            <a:ext uri="{FF2B5EF4-FFF2-40B4-BE49-F238E27FC236}">
              <a16:creationId xmlns:a16="http://schemas.microsoft.com/office/drawing/2014/main" id="{E2B722B3-8BFC-4200-A1ED-0C717F52C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9834" y="7435339"/>
          <a:ext cx="4000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138893</xdr:colOff>
      <xdr:row>4</xdr:row>
      <xdr:rowOff>21981</xdr:rowOff>
    </xdr:from>
    <xdr:to>
      <xdr:col>2</xdr:col>
      <xdr:colOff>1157336</xdr:colOff>
      <xdr:row>5</xdr:row>
      <xdr:rowOff>14654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E43554-4E36-40F4-951D-3BEC17B0DA6C}"/>
            </a:ext>
          </a:extLst>
        </xdr:cNvPr>
        <xdr:cNvSpPr/>
      </xdr:nvSpPr>
      <xdr:spPr>
        <a:xfrm>
          <a:off x="4129453" y="860181"/>
          <a:ext cx="1018443" cy="18317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/>
            <a:t>⬅ </a:t>
          </a:r>
          <a:r>
            <a:rPr lang="pt-BR" sz="800"/>
            <a:t>ANTERIOR</a:t>
          </a:r>
        </a:p>
      </xdr:txBody>
    </xdr:sp>
    <xdr:clientData/>
  </xdr:twoCellAnchor>
  <xdr:oneCellAnchor>
    <xdr:from>
      <xdr:col>7</xdr:col>
      <xdr:colOff>0</xdr:colOff>
      <xdr:row>11</xdr:row>
      <xdr:rowOff>0</xdr:rowOff>
    </xdr:from>
    <xdr:ext cx="304800" cy="304800"/>
    <xdr:sp macro="" textlink="">
      <xdr:nvSpPr>
        <xdr:cNvPr id="13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6D134C17-1AA4-4C2B-BDF8-0B9764963C8E}"/>
            </a:ext>
          </a:extLst>
        </xdr:cNvPr>
        <xdr:cNvSpPr>
          <a:spLocks noChangeAspect="1" noChangeArrowheads="1"/>
        </xdr:cNvSpPr>
      </xdr:nvSpPr>
      <xdr:spPr bwMode="auto">
        <a:xfrm>
          <a:off x="10248900" y="21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17</xdr:row>
      <xdr:rowOff>0</xdr:rowOff>
    </xdr:from>
    <xdr:ext cx="304800" cy="304800"/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714F0D4F-8179-4D9E-B730-591CF878F3BB}"/>
            </a:ext>
          </a:extLst>
        </xdr:cNvPr>
        <xdr:cNvSpPr>
          <a:spLocks noChangeAspect="1" noChangeArrowheads="1"/>
        </xdr:cNvSpPr>
      </xdr:nvSpPr>
      <xdr:spPr bwMode="auto">
        <a:xfrm>
          <a:off x="10248900" y="331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304800" cy="304800"/>
    <xdr:sp macro="" textlink="">
      <xdr:nvSpPr>
        <xdr:cNvPr id="16" name="AutoShape 7">
          <a:extLst>
            <a:ext uri="{FF2B5EF4-FFF2-40B4-BE49-F238E27FC236}">
              <a16:creationId xmlns:a16="http://schemas.microsoft.com/office/drawing/2014/main" id="{471C11DF-4E54-428C-8892-D24F245C0DFC}"/>
            </a:ext>
          </a:extLst>
        </xdr:cNvPr>
        <xdr:cNvSpPr>
          <a:spLocks noChangeAspect="1" noChangeArrowheads="1"/>
        </xdr:cNvSpPr>
      </xdr:nvSpPr>
      <xdr:spPr bwMode="auto">
        <a:xfrm>
          <a:off x="10230971" y="331694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absolute">
    <xdr:from>
      <xdr:col>0</xdr:col>
      <xdr:colOff>295815</xdr:colOff>
      <xdr:row>24</xdr:row>
      <xdr:rowOff>165652</xdr:rowOff>
    </xdr:from>
    <xdr:to>
      <xdr:col>0</xdr:col>
      <xdr:colOff>3189758</xdr:colOff>
      <xdr:row>27</xdr:row>
      <xdr:rowOff>111704</xdr:rowOff>
    </xdr:to>
    <xdr:sp macro="" textlink="">
      <xdr:nvSpPr>
        <xdr:cNvPr id="22" name="Retângulo: Cantos Arredondados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638766-18A9-47DB-9013-CCFF019BDD45}"/>
            </a:ext>
          </a:extLst>
        </xdr:cNvPr>
        <xdr:cNvSpPr/>
      </xdr:nvSpPr>
      <xdr:spPr>
        <a:xfrm>
          <a:off x="295815" y="4812195"/>
          <a:ext cx="2893943" cy="517552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RECEITAS</a:t>
          </a:r>
        </a:p>
      </xdr:txBody>
    </xdr:sp>
    <xdr:clientData/>
  </xdr:twoCellAnchor>
  <xdr:twoCellAnchor editAs="absolute">
    <xdr:from>
      <xdr:col>4</xdr:col>
      <xdr:colOff>117380</xdr:colOff>
      <xdr:row>27</xdr:row>
      <xdr:rowOff>131566</xdr:rowOff>
    </xdr:from>
    <xdr:to>
      <xdr:col>5</xdr:col>
      <xdr:colOff>720878</xdr:colOff>
      <xdr:row>29</xdr:row>
      <xdr:rowOff>21686</xdr:rowOff>
    </xdr:to>
    <xdr:sp macro="" textlink="">
      <xdr:nvSpPr>
        <xdr:cNvPr id="17" name="Retângulo: Cantos Arredondados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9859489-5B28-41CF-94BF-153064CF3E6A}"/>
            </a:ext>
          </a:extLst>
        </xdr:cNvPr>
        <xdr:cNvSpPr/>
      </xdr:nvSpPr>
      <xdr:spPr>
        <a:xfrm>
          <a:off x="7803641" y="5349609"/>
          <a:ext cx="2450520" cy="27112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➡</a:t>
          </a:r>
        </a:p>
        <a:p>
          <a:pPr algn="ctr"/>
          <a:endParaRPr lang="pt-BR" sz="1100"/>
        </a:p>
      </xdr:txBody>
    </xdr:sp>
    <xdr:clientData/>
  </xdr:twoCellAnchor>
  <xdr:twoCellAnchor editAs="absolute">
    <xdr:from>
      <xdr:col>2</xdr:col>
      <xdr:colOff>604630</xdr:colOff>
      <xdr:row>27</xdr:row>
      <xdr:rowOff>124240</xdr:rowOff>
    </xdr:from>
    <xdr:to>
      <xdr:col>3</xdr:col>
      <xdr:colOff>1206404</xdr:colOff>
      <xdr:row>29</xdr:row>
      <xdr:rowOff>14360</xdr:rowOff>
    </xdr:to>
    <xdr:sp macro="" textlink="">
      <xdr:nvSpPr>
        <xdr:cNvPr id="19" name="Retângulo: Cantos Arredondados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9B6C0B8-4EBB-4C30-979C-BF99F9261C1A}"/>
            </a:ext>
          </a:extLst>
        </xdr:cNvPr>
        <xdr:cNvSpPr/>
      </xdr:nvSpPr>
      <xdr:spPr>
        <a:xfrm>
          <a:off x="4596847" y="5342283"/>
          <a:ext cx="2448796" cy="27112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⬅ </a:t>
          </a:r>
          <a:r>
            <a:rPr lang="pt-BR" sz="1100"/>
            <a:t>ANTERIOR</a:t>
          </a:r>
        </a:p>
      </xdr:txBody>
    </xdr:sp>
    <xdr:clientData/>
  </xdr:twoCellAnchor>
  <xdr:oneCellAnchor>
    <xdr:from>
      <xdr:col>3</xdr:col>
      <xdr:colOff>0</xdr:colOff>
      <xdr:row>12</xdr:row>
      <xdr:rowOff>0</xdr:rowOff>
    </xdr:from>
    <xdr:ext cx="304800" cy="304800"/>
    <xdr:sp macro="" textlink="">
      <xdr:nvSpPr>
        <xdr:cNvPr id="34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1DD99C40-3E6C-4326-BFAA-2D865D1C9222}"/>
            </a:ext>
          </a:extLst>
        </xdr:cNvPr>
        <xdr:cNvSpPr>
          <a:spLocks noChangeAspect="1" noChangeArrowheads="1"/>
        </xdr:cNvSpPr>
      </xdr:nvSpPr>
      <xdr:spPr bwMode="auto">
        <a:xfrm>
          <a:off x="5706717" y="21700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absolute">
    <xdr:from>
      <xdr:col>0</xdr:col>
      <xdr:colOff>49696</xdr:colOff>
      <xdr:row>32</xdr:row>
      <xdr:rowOff>173935</xdr:rowOff>
    </xdr:from>
    <xdr:to>
      <xdr:col>0</xdr:col>
      <xdr:colOff>3360645</xdr:colOff>
      <xdr:row>36</xdr:row>
      <xdr:rowOff>103533</xdr:rowOff>
    </xdr:to>
    <xdr:sp macro="" textlink="">
      <xdr:nvSpPr>
        <xdr:cNvPr id="15" name="Retângulo: Cantos Arredondados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3A3D375-FAD3-46B0-B105-6A2DF06340AD}"/>
            </a:ext>
          </a:extLst>
        </xdr:cNvPr>
        <xdr:cNvSpPr/>
      </xdr:nvSpPr>
      <xdr:spPr>
        <a:xfrm>
          <a:off x="49696" y="6344478"/>
          <a:ext cx="3310949" cy="69159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RESUMO FINANCEIRO</a:t>
          </a:r>
        </a:p>
        <a:p>
          <a:pPr algn="ctr"/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117879</xdr:rowOff>
    </xdr:to>
    <xdr:sp macro="" textlink="">
      <xdr:nvSpPr>
        <xdr:cNvPr id="2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6F27665D-A364-4DC3-89BD-7886A42CF27F}"/>
            </a:ext>
          </a:extLst>
        </xdr:cNvPr>
        <xdr:cNvSpPr>
          <a:spLocks noChangeAspect="1" noChangeArrowheads="1"/>
        </xdr:cNvSpPr>
      </xdr:nvSpPr>
      <xdr:spPr bwMode="auto">
        <a:xfrm>
          <a:off x="7800975" y="2895600"/>
          <a:ext cx="304800" cy="3087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304800</xdr:colOff>
      <xdr:row>7</xdr:row>
      <xdr:rowOff>114300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8402BE9A-AC13-4C1F-BB25-F89076DA17F5}"/>
            </a:ext>
          </a:extLst>
        </xdr:cNvPr>
        <xdr:cNvSpPr>
          <a:spLocks noChangeAspect="1" noChangeArrowheads="1"/>
        </xdr:cNvSpPr>
      </xdr:nvSpPr>
      <xdr:spPr bwMode="auto">
        <a:xfrm>
          <a:off x="7800975" y="519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1008893</xdr:colOff>
      <xdr:row>8</xdr:row>
      <xdr:rowOff>115182</xdr:rowOff>
    </xdr:from>
    <xdr:to>
      <xdr:col>0</xdr:col>
      <xdr:colOff>2512570</xdr:colOff>
      <xdr:row>16</xdr:row>
      <xdr:rowOff>129298</xdr:rowOff>
    </xdr:to>
    <xdr:pic>
      <xdr:nvPicPr>
        <xdr:cNvPr id="4" name="Imagem 9">
          <a:extLst>
            <a:ext uri="{FF2B5EF4-FFF2-40B4-BE49-F238E27FC236}">
              <a16:creationId xmlns:a16="http://schemas.microsoft.com/office/drawing/2014/main" id="{A718526C-C183-41B4-B059-C47D7A2EB929}"/>
            </a:ext>
            <a:ext uri="{147F2762-F138-4A5C-976F-8EAC2B608ADB}">
              <a16:predDERef xmlns:a16="http://schemas.microsoft.com/office/drawing/2014/main" pred="{5742BC31-56C5-73A5-804F-5829CBA42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8893" y="1857429"/>
          <a:ext cx="1503677" cy="154060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97573</xdr:rowOff>
    </xdr:from>
    <xdr:to>
      <xdr:col>1</xdr:col>
      <xdr:colOff>114233</xdr:colOff>
      <xdr:row>7</xdr:row>
      <xdr:rowOff>14403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C334588-23E5-4622-881B-F6E5FAE1C37E}"/>
            </a:ext>
          </a:extLst>
        </xdr:cNvPr>
        <xdr:cNvSpPr/>
      </xdr:nvSpPr>
      <xdr:spPr>
        <a:xfrm>
          <a:off x="0" y="288073"/>
          <a:ext cx="3495608" cy="1277663"/>
        </a:xfrm>
        <a:prstGeom prst="roundRect">
          <a:avLst>
            <a:gd name="adj" fmla="val 22682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3200">
              <a:gradFill>
                <a:gsLst>
                  <a:gs pos="51000">
                    <a:schemeClr val="accent2">
                      <a:lumMod val="50000"/>
                    </a:schemeClr>
                  </a:gs>
                  <a:gs pos="95000">
                    <a:schemeClr val="accent2">
                      <a:lumMod val="75000"/>
                    </a:schemeClr>
                  </a:gs>
                  <a:gs pos="23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</a:rPr>
            <a:t>LION</a:t>
          </a:r>
          <a:r>
            <a:rPr lang="pt-BR" sz="3200" baseline="0">
              <a:gradFill>
                <a:gsLst>
                  <a:gs pos="51000">
                    <a:schemeClr val="accent2">
                      <a:lumMod val="50000"/>
                    </a:schemeClr>
                  </a:gs>
                  <a:gs pos="95000">
                    <a:schemeClr val="accent2">
                      <a:lumMod val="75000"/>
                    </a:schemeClr>
                  </a:gs>
                  <a:gs pos="23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</a:rPr>
            <a:t> INFORME IR APP</a:t>
          </a:r>
        </a:p>
        <a:p>
          <a:pPr algn="ctr"/>
          <a:endParaRPr lang="pt-BR" sz="3600"/>
        </a:p>
      </xdr:txBody>
    </xdr:sp>
    <xdr:clientData/>
  </xdr:twoCellAnchor>
  <xdr:twoCellAnchor editAs="absolute">
    <xdr:from>
      <xdr:col>0</xdr:col>
      <xdr:colOff>238540</xdr:colOff>
      <xdr:row>21</xdr:row>
      <xdr:rowOff>142118</xdr:rowOff>
    </xdr:from>
    <xdr:to>
      <xdr:col>0</xdr:col>
      <xdr:colOff>3132483</xdr:colOff>
      <xdr:row>24</xdr:row>
      <xdr:rowOff>88170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2B187BB-5CFD-4E94-96E9-40012F76B05B}"/>
            </a:ext>
          </a:extLst>
        </xdr:cNvPr>
        <xdr:cNvSpPr/>
      </xdr:nvSpPr>
      <xdr:spPr>
        <a:xfrm>
          <a:off x="238540" y="4357966"/>
          <a:ext cx="2893943" cy="517552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240196</xdr:colOff>
      <xdr:row>25</xdr:row>
      <xdr:rowOff>142794</xdr:rowOff>
    </xdr:from>
    <xdr:to>
      <xdr:col>0</xdr:col>
      <xdr:colOff>3064566</xdr:colOff>
      <xdr:row>28</xdr:row>
      <xdr:rowOff>102229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70DD5D-7247-4367-A6D1-4E711AB609E5}"/>
            </a:ext>
          </a:extLst>
        </xdr:cNvPr>
        <xdr:cNvSpPr/>
      </xdr:nvSpPr>
      <xdr:spPr>
        <a:xfrm>
          <a:off x="240196" y="5120642"/>
          <a:ext cx="2824370" cy="53093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RECEITAS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207066</xdr:colOff>
      <xdr:row>17</xdr:row>
      <xdr:rowOff>85834</xdr:rowOff>
    </xdr:from>
    <xdr:to>
      <xdr:col>0</xdr:col>
      <xdr:colOff>3163957</xdr:colOff>
      <xdr:row>20</xdr:row>
      <xdr:rowOff>79893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9A3580-3ACF-4CDE-88D4-2DDCFE05B342}"/>
            </a:ext>
          </a:extLst>
        </xdr:cNvPr>
        <xdr:cNvSpPr/>
      </xdr:nvSpPr>
      <xdr:spPr>
        <a:xfrm>
          <a:off x="207066" y="3539682"/>
          <a:ext cx="2956891" cy="565559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37</xdr:row>
      <xdr:rowOff>148930</xdr:rowOff>
    </xdr:from>
    <xdr:to>
      <xdr:col>0</xdr:col>
      <xdr:colOff>3429000</xdr:colOff>
      <xdr:row>39</xdr:row>
      <xdr:rowOff>148930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71DC7765-5094-4D6F-809E-463046AC387F}"/>
            </a:ext>
            <a:ext uri="{147F2762-F138-4A5C-976F-8EAC2B608ADB}">
              <a16:predDERef xmlns:a16="http://schemas.microsoft.com/office/drawing/2014/main" pred="{3EF1EE40-7F42-55C3-4BF1-06EC9352F5AB}"/>
            </a:ext>
          </a:extLst>
        </xdr:cNvPr>
        <xdr:cNvSpPr/>
      </xdr:nvSpPr>
      <xdr:spPr>
        <a:xfrm>
          <a:off x="0" y="8207080"/>
          <a:ext cx="3381375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Emoji" panose="020B0502040204020203" pitchFamily="34" charset="0"/>
              <a:ea typeface="Segoe UI Emoji" panose="020B0502040204020203" pitchFamily="34" charset="0"/>
            </a:rPr>
            <a:t>SYSTEM BY BG 💙</a:t>
          </a:r>
        </a:p>
      </xdr:txBody>
    </xdr:sp>
    <xdr:clientData/>
  </xdr:twoCellAnchor>
  <xdr:twoCellAnchor editAs="absolute">
    <xdr:from>
      <xdr:col>0</xdr:col>
      <xdr:colOff>762000</xdr:colOff>
      <xdr:row>41</xdr:row>
      <xdr:rowOff>168041</xdr:rowOff>
    </xdr:from>
    <xdr:to>
      <xdr:col>0</xdr:col>
      <xdr:colOff>2590800</xdr:colOff>
      <xdr:row>41</xdr:row>
      <xdr:rowOff>168041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ED3D905B-13C5-4F07-A57F-7BD2CE794D4F}"/>
            </a:ext>
          </a:extLst>
        </xdr:cNvPr>
        <xdr:cNvCxnSpPr/>
      </xdr:nvCxnSpPr>
      <xdr:spPr>
        <a:xfrm>
          <a:off x="762000" y="8209625"/>
          <a:ext cx="18288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1514475</xdr:colOff>
      <xdr:row>40</xdr:row>
      <xdr:rowOff>8264</xdr:rowOff>
    </xdr:from>
    <xdr:to>
      <xdr:col>0</xdr:col>
      <xdr:colOff>1914525</xdr:colOff>
      <xdr:row>42</xdr:row>
      <xdr:rowOff>27314</xdr:rowOff>
    </xdr:to>
    <xdr:pic>
      <xdr:nvPicPr>
        <xdr:cNvPr id="11" name="icon_link" descr="Ícones brancos de Linkedin – Baixe gratuitamente em SVG, PNG, GIF">
          <a:extLst>
            <a:ext uri="{FF2B5EF4-FFF2-40B4-BE49-F238E27FC236}">
              <a16:creationId xmlns:a16="http://schemas.microsoft.com/office/drawing/2014/main" id="{281DB219-B13F-4C27-9230-8E2811608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8637914"/>
          <a:ext cx="4000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0</xdr:colOff>
      <xdr:row>10</xdr:row>
      <xdr:rowOff>0</xdr:rowOff>
    </xdr:from>
    <xdr:ext cx="304800" cy="306648"/>
    <xdr:sp macro="" textlink="">
      <xdr:nvSpPr>
        <xdr:cNvPr id="12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63A90D88-A142-4F21-8106-AAE6CFBEDA49}"/>
            </a:ext>
          </a:extLst>
        </xdr:cNvPr>
        <xdr:cNvSpPr>
          <a:spLocks noChangeAspect="1" noChangeArrowheads="1"/>
        </xdr:cNvSpPr>
      </xdr:nvSpPr>
      <xdr:spPr bwMode="auto">
        <a:xfrm>
          <a:off x="7800975" y="2638425"/>
          <a:ext cx="304800" cy="306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absolute">
    <xdr:from>
      <xdr:col>0</xdr:col>
      <xdr:colOff>445366</xdr:colOff>
      <xdr:row>30</xdr:row>
      <xdr:rowOff>72473</xdr:rowOff>
    </xdr:from>
    <xdr:to>
      <xdr:col>0</xdr:col>
      <xdr:colOff>2859397</xdr:colOff>
      <xdr:row>32</xdr:row>
      <xdr:rowOff>112934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CDB46F6-BD26-4D77-8DA0-30335DD00DC8}"/>
            </a:ext>
          </a:extLst>
        </xdr:cNvPr>
        <xdr:cNvSpPr/>
      </xdr:nvSpPr>
      <xdr:spPr>
        <a:xfrm>
          <a:off x="445366" y="6002821"/>
          <a:ext cx="2414031" cy="429743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Segoe UI Light" panose="020B0502040204020203" pitchFamily="34" charset="0"/>
              <a:cs typeface="Segoe UI Light" panose="020B0502040204020203" pitchFamily="34" charset="0"/>
            </a:rPr>
            <a:t>DESPESAS</a:t>
          </a:r>
          <a:endParaRPr lang="pt-BR" sz="11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348245</xdr:colOff>
      <xdr:row>10</xdr:row>
      <xdr:rowOff>31925</xdr:rowOff>
    </xdr:from>
    <xdr:to>
      <xdr:col>6</xdr:col>
      <xdr:colOff>37647</xdr:colOff>
      <xdr:row>26</xdr:row>
      <xdr:rowOff>106921</xdr:rowOff>
    </xdr:to>
    <xdr:graphicFrame macro="">
      <xdr:nvGraphicFramePr>
        <xdr:cNvPr id="15" name="RESUMO DESPESAS">
          <a:extLst>
            <a:ext uri="{FF2B5EF4-FFF2-40B4-BE49-F238E27FC236}">
              <a16:creationId xmlns:a16="http://schemas.microsoft.com/office/drawing/2014/main" id="{E090B861-10B7-5412-A3B1-0FC421AFF8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426930</xdr:colOff>
      <xdr:row>27</xdr:row>
      <xdr:rowOff>140051</xdr:rowOff>
    </xdr:from>
    <xdr:to>
      <xdr:col>3</xdr:col>
      <xdr:colOff>368354</xdr:colOff>
      <xdr:row>29</xdr:row>
      <xdr:rowOff>39206</xdr:rowOff>
    </xdr:to>
    <xdr:sp macro="" textlink="">
      <xdr:nvSpPr>
        <xdr:cNvPr id="16" name="Retângulo: Cantos Arredondados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586D10B-41DF-4F8E-83D1-75BF394F5BC8}"/>
            </a:ext>
          </a:extLst>
        </xdr:cNvPr>
        <xdr:cNvSpPr/>
      </xdr:nvSpPr>
      <xdr:spPr>
        <a:xfrm>
          <a:off x="3806234" y="5498899"/>
          <a:ext cx="2475903" cy="28015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⬅ </a:t>
          </a:r>
          <a:r>
            <a:rPr lang="pt-BR" sz="1100"/>
            <a:t>ANTERIOR</a:t>
          </a:r>
        </a:p>
      </xdr:txBody>
    </xdr:sp>
    <xdr:clientData/>
  </xdr:twoCellAnchor>
  <xdr:twoCellAnchor editAs="absolute">
    <xdr:from>
      <xdr:col>1</xdr:col>
      <xdr:colOff>604630</xdr:colOff>
      <xdr:row>5</xdr:row>
      <xdr:rowOff>91109</xdr:rowOff>
    </xdr:from>
    <xdr:to>
      <xdr:col>2</xdr:col>
      <xdr:colOff>1010160</xdr:colOff>
      <xdr:row>6</xdr:row>
      <xdr:rowOff>9238</xdr:rowOff>
    </xdr:to>
    <xdr:sp macro="" textlink="">
      <xdr:nvSpPr>
        <xdr:cNvPr id="13" name="Retângulo: Cantos Arredondados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95C6C5E-062F-4235-8089-078A8EA9D137}"/>
            </a:ext>
          </a:extLst>
        </xdr:cNvPr>
        <xdr:cNvSpPr/>
      </xdr:nvSpPr>
      <xdr:spPr>
        <a:xfrm>
          <a:off x="3983934" y="1184413"/>
          <a:ext cx="1018443" cy="18317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/>
            <a:t>⬅ </a:t>
          </a:r>
          <a:r>
            <a:rPr lang="pt-BR" sz="800"/>
            <a:t>ANTERIOR</a:t>
          </a:r>
        </a:p>
      </xdr:txBody>
    </xdr:sp>
    <xdr:clientData/>
  </xdr:twoCellAnchor>
  <xdr:twoCellAnchor editAs="absolute">
    <xdr:from>
      <xdr:col>0</xdr:col>
      <xdr:colOff>24847</xdr:colOff>
      <xdr:row>33</xdr:row>
      <xdr:rowOff>149087</xdr:rowOff>
    </xdr:from>
    <xdr:to>
      <xdr:col>1</xdr:col>
      <xdr:colOff>0</xdr:colOff>
      <xdr:row>36</xdr:row>
      <xdr:rowOff>115956</xdr:rowOff>
    </xdr:to>
    <xdr:sp macro="" textlink="">
      <xdr:nvSpPr>
        <xdr:cNvPr id="19" name="Retângulo: Cantos Arredondados 1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40D1854-793D-4CED-B2F6-BC35D49289B0}"/>
            </a:ext>
          </a:extLst>
        </xdr:cNvPr>
        <xdr:cNvSpPr/>
      </xdr:nvSpPr>
      <xdr:spPr>
        <a:xfrm>
          <a:off x="24847" y="6659217"/>
          <a:ext cx="3354457" cy="538369"/>
        </a:xfrm>
        <a:prstGeom prst="roundRect">
          <a:avLst>
            <a:gd name="adj" fmla="val 50000"/>
          </a:avLst>
        </a:prstGeom>
        <a:gradFill flip="none" rotWithShape="1">
          <a:gsLst>
            <a:gs pos="78906">
              <a:schemeClr val="accent2">
                <a:lumMod val="65000"/>
                <a:alpha val="78000"/>
              </a:schemeClr>
            </a:gs>
            <a:gs pos="30000">
              <a:srgbClr val="00B0F0">
                <a:lumMod val="81000"/>
                <a:alpha val="83000"/>
              </a:srgbClr>
            </a:gs>
            <a:gs pos="70000">
              <a:schemeClr val="accent2">
                <a:alpha val="88000"/>
                <a:lumMod val="65000"/>
              </a:scheme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2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RESUMO</a:t>
          </a:r>
          <a:r>
            <a:rPr lang="pt-BR" sz="2400" baseline="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 </a:t>
          </a:r>
          <a:r>
            <a:rPr lang="pt-BR" sz="24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FINANCEIRO</a:t>
          </a:r>
        </a:p>
      </xdr:txBody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114300</xdr:rowOff>
    </xdr:to>
    <xdr:sp macro="" textlink="">
      <xdr:nvSpPr>
        <xdr:cNvPr id="20" name="AutoShape 5" descr="Loin Vector Lion Logo, Vector Lion Logo, Lion Logo PNG Transparent Image  and Clipart for Free Download">
          <a:extLst>
            <a:ext uri="{FF2B5EF4-FFF2-40B4-BE49-F238E27FC236}">
              <a16:creationId xmlns:a16="http://schemas.microsoft.com/office/drawing/2014/main" id="{924B71B9-7A68-4B32-8927-8229110512DC}"/>
            </a:ext>
          </a:extLst>
        </xdr:cNvPr>
        <xdr:cNvSpPr>
          <a:spLocks noChangeAspect="1" noChangeArrowheads="1"/>
        </xdr:cNvSpPr>
      </xdr:nvSpPr>
      <xdr:spPr bwMode="auto">
        <a:xfrm>
          <a:off x="5705475" y="21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 Gabriel de Oliveira Martins" refreshedDate="46047.640583912034" createdVersion="8" refreshedVersion="8" minRefreshableVersion="3" recordCount="18" xr:uid="{A1DC30EB-DCC2-4885-8032-15F7834F6566}">
  <cacheSource type="worksheet">
    <worksheetSource name="Tabela_Despesas"/>
  </cacheSource>
  <cacheFields count="4">
    <cacheField name="DATA" numFmtId="0">
      <sharedItems containsNonDate="0" containsDate="1" containsString="0" containsBlank="1" minDate="2025-01-23T00:00:00" maxDate="2025-07-02T00:00:00"/>
    </cacheField>
    <cacheField name="CATEGORIA" numFmtId="0">
      <sharedItems containsBlank="1" count="5">
        <s v="MÉDICO"/>
        <s v="EDCUCAÇÃO"/>
        <s v="PENSÃO"/>
        <s v="EXAMES"/>
        <m/>
      </sharedItems>
    </cacheField>
    <cacheField name="TIPO" numFmtId="0">
      <sharedItems containsBlank="1" count="10">
        <s v="PSIQUIATRA"/>
        <s v="ESCOLA"/>
        <s v="PAULA"/>
        <s v="IMAGEM"/>
        <s v="SANGUE"/>
        <s v="FACULDADE"/>
        <s v="CARLOS"/>
        <s v="CARDIOLOGISTA"/>
        <s v="ENDOCRINOLOGISTA"/>
        <m/>
      </sharedItems>
    </cacheField>
    <cacheField name="VALOR" numFmtId="168">
      <sharedItems containsString="0" containsBlank="1" containsNumber="1" containsInteger="1" minValue="100" maxValue="3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d v="2025-01-23T00:00:00"/>
    <x v="0"/>
    <x v="0"/>
    <n v="3000"/>
  </r>
  <r>
    <d v="2025-01-24T00:00:00"/>
    <x v="1"/>
    <x v="1"/>
    <n v="500"/>
  </r>
  <r>
    <d v="2025-03-25T00:00:00"/>
    <x v="2"/>
    <x v="2"/>
    <n v="1200"/>
  </r>
  <r>
    <d v="2025-03-01T00:00:00"/>
    <x v="3"/>
    <x v="3"/>
    <n v="100"/>
  </r>
  <r>
    <d v="2025-02-01T00:00:00"/>
    <x v="3"/>
    <x v="4"/>
    <n v="500"/>
  </r>
  <r>
    <d v="2025-04-01T00:00:00"/>
    <x v="1"/>
    <x v="5"/>
    <n v="1500"/>
  </r>
  <r>
    <d v="2025-05-01T00:00:00"/>
    <x v="2"/>
    <x v="6"/>
    <n v="1000"/>
  </r>
  <r>
    <d v="2025-06-01T00:00:00"/>
    <x v="0"/>
    <x v="7"/>
    <n v="400"/>
  </r>
  <r>
    <d v="2025-07-01T00:00:00"/>
    <x v="0"/>
    <x v="8"/>
    <n v="200"/>
  </r>
  <r>
    <m/>
    <x v="4"/>
    <x v="9"/>
    <m/>
  </r>
  <r>
    <m/>
    <x v="4"/>
    <x v="9"/>
    <m/>
  </r>
  <r>
    <m/>
    <x v="4"/>
    <x v="9"/>
    <m/>
  </r>
  <r>
    <m/>
    <x v="4"/>
    <x v="9"/>
    <m/>
  </r>
  <r>
    <m/>
    <x v="4"/>
    <x v="9"/>
    <m/>
  </r>
  <r>
    <m/>
    <x v="4"/>
    <x v="9"/>
    <m/>
  </r>
  <r>
    <m/>
    <x v="4"/>
    <x v="9"/>
    <m/>
  </r>
  <r>
    <m/>
    <x v="4"/>
    <x v="9"/>
    <m/>
  </r>
  <r>
    <m/>
    <x v="4"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13B18-4F9F-4A8B-AA8F-AB7E35DAEA14}" name="Tab_desp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8" firstHeaderRow="1" firstDataRow="1" firstDataCol="1"/>
  <pivotFields count="4">
    <pivotField showAll="0"/>
    <pivotField axis="axisRow" showAll="0">
      <items count="6">
        <item x="1"/>
        <item x="3"/>
        <item x="0"/>
        <item x="2"/>
        <item sd="0" x="4"/>
        <item t="default"/>
      </items>
    </pivotField>
    <pivotField axis="axisRow" showAll="0">
      <items count="11">
        <item x="1"/>
        <item x="3"/>
        <item x="2"/>
        <item x="0"/>
        <item x="4"/>
        <item x="9"/>
        <item x="5"/>
        <item x="6"/>
        <item x="7"/>
        <item x="8"/>
        <item t="default"/>
      </items>
    </pivotField>
    <pivotField dataField="1" showAll="0"/>
  </pivotFields>
  <rowFields count="2">
    <field x="1"/>
    <field x="2"/>
  </rowFields>
  <rowItems count="15">
    <i>
      <x/>
    </i>
    <i r="1">
      <x/>
    </i>
    <i r="1">
      <x v="6"/>
    </i>
    <i>
      <x v="1"/>
    </i>
    <i r="1">
      <x v="1"/>
    </i>
    <i r="1">
      <x v="4"/>
    </i>
    <i>
      <x v="2"/>
    </i>
    <i r="1">
      <x v="3"/>
    </i>
    <i r="1">
      <x v="8"/>
    </i>
    <i r="1">
      <x v="9"/>
    </i>
    <i>
      <x v="3"/>
    </i>
    <i r="1">
      <x v="2"/>
    </i>
    <i r="1">
      <x v="7"/>
    </i>
    <i>
      <x v="4"/>
    </i>
    <i t="grand">
      <x/>
    </i>
  </rowItems>
  <colItems count="1">
    <i/>
  </colItems>
  <dataFields count="1">
    <dataField name="Soma de VALOR" fld="3" baseField="0" baseItem="0"/>
  </dataFields>
  <chartFormats count="11"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14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</references>
      </pivotArea>
    </chartFormat>
    <chartFormat chart="14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</references>
      </pivotArea>
    </chartFormat>
    <chartFormat chart="14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</references>
      </pivotArea>
    </chartFormat>
    <chartFormat chart="14" format="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14" format="1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"/>
          </reference>
        </references>
      </pivotArea>
    </chartFormat>
    <chartFormat chart="14" format="1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</references>
      </pivotArea>
    </chartFormat>
    <chartFormat chart="14" format="1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14" format="1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</references>
      </pivotArea>
    </chartFormat>
    <chartFormat chart="14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26F911-DE24-4402-A922-1BF9D54B4B0D}" name="Tabela2" displayName="Tabela2" ref="D18:D21" totalsRowShown="0">
  <autoFilter ref="D18:D21" xr:uid="{5426F911-DE24-4402-A922-1BF9D54B4B0D}"/>
  <tableColumns count="1">
    <tableColumn id="1" xr3:uid="{C59C3DBF-5A3F-4B4C-895F-9F32538A49F5}" name="💰 Aba RECEITAS" dataDxfId="3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DE5FCEC-FFE5-4323-86B3-B81E8ACEA024}" name="Tabela9" displayName="Tabela9" ref="D23:D26" totalsRowShown="0" headerRowDxfId="35" dataDxfId="34">
  <autoFilter ref="D23:D26" xr:uid="{5DE5FCEC-FFE5-4323-86B3-B81E8ACEA024}"/>
  <tableColumns count="1">
    <tableColumn id="1" xr3:uid="{D089EFA5-242D-4995-A05E-8A9009243FFB}" name="💰 Aba DESPESAS " dataDxfId="33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F5E24-D3D3-4CB9-90E7-F0E1DF8926CB}" name="Tabela10" displayName="Tabela10" ref="D28:D31" totalsRowShown="0" headerRowDxfId="32" dataDxfId="31">
  <autoFilter ref="D28:D31" xr:uid="{193F5E24-D3D3-4CB9-90E7-F0E1DF8926CB}"/>
  <tableColumns count="1">
    <tableColumn id="1" xr3:uid="{73754EB0-FB63-4D7A-AA4A-E5D29197BC4D}" name="📊 Campos de Resumo" dataDxfId="3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4793CA7-8CAC-4115-8DEE-CF9A302173AA}" name="Tabela11" displayName="Tabela11" ref="I19:K21" totalsRowShown="0" headerRowDxfId="29">
  <autoFilter ref="I19:K21" xr:uid="{A4793CA7-8CAC-4115-8DEE-CF9A302173AA}"/>
  <tableColumns count="3">
    <tableColumn id="1" xr3:uid="{AB187427-FBCE-4788-8C92-A859A3E7C8CD}" name="DATA" dataDxfId="28"/>
    <tableColumn id="2" xr3:uid="{054338C1-FD72-4E8F-A0EA-1504BEB9EEC9}" name="ORIGEM" dataDxfId="27"/>
    <tableColumn id="3" xr3:uid="{EBC58D94-90EC-409D-994F-472DBA400E8C}" name="VALOR" dataDxfId="26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CE7BF21-7921-4DA8-824B-B3E109ADC73E}" name="Tabela1113" displayName="Tabela1113" ref="I24:K26" totalsRowShown="0">
  <autoFilter ref="I24:K26" xr:uid="{2CE7BF21-7921-4DA8-824B-B3E109ADC73E}"/>
  <tableColumns count="3">
    <tableColumn id="1" xr3:uid="{5CD0E025-EBA4-43E2-AD69-36E9D50903E8}" name="DATA" dataDxfId="25"/>
    <tableColumn id="2" xr3:uid="{08D17CDB-AE8B-485D-AFDD-6CFE1EFF975D}" name="CATEGORIA" dataDxfId="24"/>
    <tableColumn id="3" xr3:uid="{2407FD59-D9C0-4FD3-8FA9-B45C4AEA4E0B}" name="VALOR" dataDxfId="23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709D9E-7885-42B0-BED2-79DFF537EFFD}" name="Tabela4" displayName="Tabela4" ref="C10:D12" totalsRowShown="0" headerRowBorderDxfId="22" tableBorderDxfId="21" totalsRowBorderDxfId="20">
  <tableColumns count="2">
    <tableColumn id="1" xr3:uid="{C7572DCE-C1E2-493B-8CD7-7A8BE1DC4B82}" name="BANCO" dataDxfId="19"/>
    <tableColumn id="2" xr3:uid="{231552BD-F433-479D-950E-F644D8A5B05F}" name="33 - Banco Santander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49DFA5-BDE9-4136-AD72-64566CC25211}" name="Tabela6" displayName="Tabela6" ref="C16:D18" totalsRowShown="0" headerRowBorderDxfId="18" tableBorderDxfId="17" totalsRowBorderDxfId="16">
  <tableColumns count="2">
    <tableColumn id="1" xr3:uid="{A7D59494-D7B8-4DAE-979F-FF02F7D127E4}" name="BANCO" dataDxfId="15"/>
    <tableColumn id="2" xr3:uid="{32AFF559-7E30-4731-A627-59C073D368D9}" name="33 - Banco Santander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B86111-A79D-4544-89ED-F7B9B9600FD1}" name="Tabela7" displayName="Tabela7" ref="C22:D24" totalsRowShown="0" headerRowBorderDxfId="14" tableBorderDxfId="13" totalsRowBorderDxfId="12">
  <tableColumns count="2">
    <tableColumn id="1" xr3:uid="{3B92ABAC-08FA-407C-A3A4-D1D458D3AA59}" name="BANCO" dataDxfId="11"/>
    <tableColumn id="2" xr3:uid="{9B7368FC-D1B0-4593-8D85-936196A8D35B}" name="33 - Banco Santander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0EFBC3-BA0B-428E-92A2-00CA921D21CD}" name="Tab_Receitas" displayName="Tab_Receitas" ref="C8:E26" totalsRowShown="0" headerRowDxfId="10" dataDxfId="9">
  <autoFilter ref="C8:E26" xr:uid="{460EFBC3-BA0B-428E-92A2-00CA921D21CD}"/>
  <tableColumns count="3">
    <tableColumn id="1" xr3:uid="{998ABE2E-DF20-4224-95A4-98F2C014BC94}" name="DATA" dataDxfId="8"/>
    <tableColumn id="2" xr3:uid="{7591538D-7AB1-4AD0-B63F-62D152FA4972}" name="CATEGORIA" dataDxfId="7"/>
    <tableColumn id="3" xr3:uid="{D7E109E6-3580-47D5-8C53-973F23729202}" name="VALOR" dataDxfId="6"/>
  </tableColumns>
  <tableStyleInfo name="TableStyleMedium2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60A2BE-3677-4080-B246-EDD9B6FEFA00}" name="Tabela_Despesas" displayName="Tabela_Despesas" ref="C8:F26" totalsRowShown="0" headerRowDxfId="5" dataDxfId="4">
  <autoFilter ref="C8:F26" xr:uid="{C360A2BE-3677-4080-B246-EDD9B6FEFA00}"/>
  <tableColumns count="4">
    <tableColumn id="1" xr3:uid="{D41E3DEA-8129-495B-AE26-8C6E331CA037}" name="DATA" dataDxfId="3"/>
    <tableColumn id="2" xr3:uid="{C78857BD-3CE0-435C-B576-AE57806CF5A2}" name="CATEGORIA" dataDxfId="2"/>
    <tableColumn id="4" xr3:uid="{FF5623DD-A8D7-4976-92D6-016B8F8F4DED}" name="TIPO" dataDxfId="1"/>
    <tableColumn id="3" xr3:uid="{75AE5DCF-5736-410D-B868-9037CD1C9315}" name="VALOR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felipe@dominio.com?subject=Declara&#231;&#227;o%20I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1D95A-A68C-48E0-B2C3-32D4EAABB2D1}">
  <sheetPr codeName="Planilha2"/>
  <dimension ref="B6:K65"/>
  <sheetViews>
    <sheetView showGridLines="0" topLeftCell="A4" zoomScale="130" zoomScaleNormal="130" workbookViewId="0">
      <selection activeCell="J28" sqref="J28"/>
    </sheetView>
  </sheetViews>
  <sheetFormatPr defaultRowHeight="15" x14ac:dyDescent="0.25"/>
  <cols>
    <col min="2" max="2" width="7.140625" customWidth="1"/>
    <col min="3" max="3" width="12.28515625" hidden="1" customWidth="1"/>
    <col min="4" max="4" width="48.85546875" customWidth="1"/>
    <col min="5" max="5" width="10.5703125" bestFit="1" customWidth="1"/>
    <col min="9" max="9" width="16" customWidth="1"/>
    <col min="10" max="10" width="13.5703125" bestFit="1" customWidth="1"/>
    <col min="11" max="11" width="11.140625" customWidth="1"/>
  </cols>
  <sheetData>
    <row r="6" spans="4:9" ht="16.5" x14ac:dyDescent="0.3">
      <c r="D6" s="42" t="s">
        <v>0</v>
      </c>
      <c r="E6" s="43"/>
      <c r="F6" s="43"/>
      <c r="G6" s="43"/>
      <c r="H6" s="43"/>
      <c r="I6" s="43"/>
    </row>
    <row r="7" spans="4:9" x14ac:dyDescent="0.25">
      <c r="D7" s="44" t="s">
        <v>1</v>
      </c>
      <c r="E7" s="43"/>
      <c r="F7" s="43"/>
      <c r="G7" s="43"/>
      <c r="H7" s="43"/>
      <c r="I7" s="43"/>
    </row>
    <row r="8" spans="4:9" x14ac:dyDescent="0.25">
      <c r="D8" s="44"/>
      <c r="E8" s="43"/>
      <c r="F8" s="43"/>
      <c r="G8" s="43"/>
      <c r="H8" s="43"/>
      <c r="I8" s="43"/>
    </row>
    <row r="10" spans="4:9" ht="17.25" x14ac:dyDescent="0.3">
      <c r="D10" s="45" t="s">
        <v>2</v>
      </c>
    </row>
    <row r="11" spans="4:9" x14ac:dyDescent="0.25">
      <c r="D11" t="s">
        <v>3</v>
      </c>
    </row>
    <row r="12" spans="4:9" x14ac:dyDescent="0.25">
      <c r="D12" t="s">
        <v>4</v>
      </c>
    </row>
    <row r="13" spans="4:9" x14ac:dyDescent="0.25">
      <c r="D13" t="s">
        <v>5</v>
      </c>
    </row>
    <row r="15" spans="4:9" ht="16.5" customHeight="1" x14ac:dyDescent="0.25">
      <c r="D15" s="46" t="s">
        <v>6</v>
      </c>
    </row>
    <row r="16" spans="4:9" x14ac:dyDescent="0.25">
      <c r="D16" s="46"/>
    </row>
    <row r="17" spans="4:11" x14ac:dyDescent="0.25">
      <c r="I17" t="s">
        <v>7</v>
      </c>
    </row>
    <row r="18" spans="4:11" ht="16.5" x14ac:dyDescent="0.3">
      <c r="D18" s="41" t="s">
        <v>8</v>
      </c>
      <c r="I18" t="s">
        <v>9</v>
      </c>
    </row>
    <row r="19" spans="4:11" ht="16.5" x14ac:dyDescent="0.3">
      <c r="D19" s="40" t="s">
        <v>10</v>
      </c>
      <c r="I19" s="39" t="s">
        <v>11</v>
      </c>
      <c r="J19" s="39" t="s">
        <v>12</v>
      </c>
      <c r="K19" s="39" t="s">
        <v>13</v>
      </c>
    </row>
    <row r="20" spans="4:11" x14ac:dyDescent="0.25">
      <c r="D20" s="40" t="s">
        <v>14</v>
      </c>
      <c r="I20" s="27">
        <v>46023</v>
      </c>
      <c r="J20" s="38" t="s">
        <v>15</v>
      </c>
      <c r="K20" s="38">
        <v>3000</v>
      </c>
    </row>
    <row r="21" spans="4:11" x14ac:dyDescent="0.25">
      <c r="D21" s="40" t="s">
        <v>16</v>
      </c>
      <c r="I21" s="27">
        <v>46027</v>
      </c>
      <c r="J21" s="38" t="s">
        <v>17</v>
      </c>
      <c r="K21" s="38">
        <v>50</v>
      </c>
    </row>
    <row r="23" spans="4:11" ht="16.5" x14ac:dyDescent="0.3">
      <c r="D23" s="39" t="s">
        <v>18</v>
      </c>
      <c r="I23" t="s">
        <v>19</v>
      </c>
    </row>
    <row r="24" spans="4:11" x14ac:dyDescent="0.25">
      <c r="D24" s="40" t="s">
        <v>20</v>
      </c>
      <c r="I24" t="s">
        <v>11</v>
      </c>
      <c r="J24" t="s">
        <v>21</v>
      </c>
      <c r="K24" t="s">
        <v>13</v>
      </c>
    </row>
    <row r="25" spans="4:11" x14ac:dyDescent="0.25">
      <c r="D25" s="40" t="s">
        <v>22</v>
      </c>
      <c r="I25" s="27">
        <v>46023</v>
      </c>
      <c r="J25" t="s">
        <v>23</v>
      </c>
      <c r="K25" s="38">
        <v>200</v>
      </c>
    </row>
    <row r="26" spans="4:11" x14ac:dyDescent="0.25">
      <c r="D26" s="40" t="s">
        <v>16</v>
      </c>
      <c r="I26" s="27">
        <v>46027</v>
      </c>
      <c r="J26" s="38" t="s">
        <v>24</v>
      </c>
      <c r="K26" s="38">
        <v>50</v>
      </c>
    </row>
    <row r="28" spans="4:11" ht="16.5" x14ac:dyDescent="0.3">
      <c r="D28" s="39" t="s">
        <v>25</v>
      </c>
    </row>
    <row r="29" spans="4:11" x14ac:dyDescent="0.25">
      <c r="D29" s="40" t="s">
        <v>26</v>
      </c>
    </row>
    <row r="30" spans="4:11" x14ac:dyDescent="0.25">
      <c r="D30" s="40" t="s">
        <v>27</v>
      </c>
    </row>
    <row r="31" spans="4:11" x14ac:dyDescent="0.25">
      <c r="D31" s="40" t="s">
        <v>28</v>
      </c>
    </row>
    <row r="32" spans="4:11" x14ac:dyDescent="0.25">
      <c r="D32" s="40"/>
    </row>
    <row r="58" spans="2:4" x14ac:dyDescent="0.25">
      <c r="C58" s="23"/>
      <c r="D58" s="23"/>
    </row>
    <row r="59" spans="2:4" x14ac:dyDescent="0.25">
      <c r="C59" s="26"/>
      <c r="D59" s="25"/>
    </row>
    <row r="60" spans="2:4" x14ac:dyDescent="0.25">
      <c r="C60" s="26"/>
      <c r="D60" s="25"/>
    </row>
    <row r="64" spans="2:4" ht="18" x14ac:dyDescent="0.25">
      <c r="B64" s="24"/>
      <c r="C64" s="27"/>
      <c r="D64" s="38"/>
    </row>
    <row r="65" spans="3:4" x14ac:dyDescent="0.25">
      <c r="C65" s="27"/>
      <c r="D65" s="38"/>
    </row>
  </sheetData>
  <mergeCells count="1">
    <mergeCell ref="D15:D16"/>
  </mergeCells>
  <pageMargins left="0.511811024" right="0.511811024" top="0.78740157499999996" bottom="0.78740157499999996" header="0.31496062000000002" footer="0.31496062000000002"/>
  <drawing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67E16-D7F1-4504-B992-4D00ECC3A5BE}">
  <sheetPr codeName="Planilha1"/>
  <dimension ref="A1:D44"/>
  <sheetViews>
    <sheetView showGridLines="0" topLeftCell="A2" zoomScale="115" zoomScaleNormal="115" workbookViewId="0">
      <selection activeCell="D11" sqref="D11"/>
    </sheetView>
  </sheetViews>
  <sheetFormatPr defaultRowHeight="15" x14ac:dyDescent="0.25"/>
  <cols>
    <col min="1" max="1" width="50.7109375" customWidth="1"/>
    <col min="3" max="3" width="57.140625" bestFit="1" customWidth="1"/>
    <col min="4" max="4" width="55.42578125" customWidth="1"/>
  </cols>
  <sheetData>
    <row r="1" spans="1:4" x14ac:dyDescent="0.25">
      <c r="A1" s="1"/>
    </row>
    <row r="2" spans="1:4" x14ac:dyDescent="0.25">
      <c r="A2" s="1"/>
    </row>
    <row r="3" spans="1:4" x14ac:dyDescent="0.25">
      <c r="A3" s="1"/>
    </row>
    <row r="4" spans="1:4" ht="20.25" thickBot="1" x14ac:dyDescent="0.35">
      <c r="A4" s="1"/>
      <c r="C4" s="2" t="s">
        <v>29</v>
      </c>
      <c r="D4" s="3"/>
    </row>
    <row r="5" spans="1:4" ht="21" customHeight="1" thickTop="1" x14ac:dyDescent="0.25">
      <c r="A5" s="1"/>
      <c r="C5" s="47" t="s">
        <v>30</v>
      </c>
      <c r="D5" s="48"/>
    </row>
    <row r="6" spans="1:4" ht="20.25" customHeight="1" x14ac:dyDescent="0.25">
      <c r="A6" s="1"/>
    </row>
    <row r="7" spans="1:4" ht="20.25" customHeight="1" x14ac:dyDescent="0.35">
      <c r="A7" s="1"/>
      <c r="C7" s="8" t="s">
        <v>31</v>
      </c>
      <c r="D7" s="9" t="s">
        <v>32</v>
      </c>
    </row>
    <row r="8" spans="1:4" ht="20.25" x14ac:dyDescent="0.35">
      <c r="A8" s="1"/>
      <c r="C8" s="8" t="s">
        <v>33</v>
      </c>
      <c r="D8" s="10">
        <v>12345678978</v>
      </c>
    </row>
    <row r="9" spans="1:4" ht="20.25" x14ac:dyDescent="0.35">
      <c r="A9" s="1"/>
      <c r="C9" s="8" t="s">
        <v>34</v>
      </c>
      <c r="D9" s="11">
        <v>34789</v>
      </c>
    </row>
    <row r="10" spans="1:4" ht="20.25" x14ac:dyDescent="0.35">
      <c r="A10" s="1"/>
      <c r="C10" s="8" t="s">
        <v>35</v>
      </c>
      <c r="D10" s="12">
        <v>123445678912</v>
      </c>
    </row>
    <row r="11" spans="1:4" ht="20.25" x14ac:dyDescent="0.35">
      <c r="A11" s="1"/>
      <c r="C11" s="8" t="s">
        <v>36</v>
      </c>
      <c r="D11" s="9" t="s">
        <v>37</v>
      </c>
    </row>
    <row r="12" spans="1:4" ht="20.25" x14ac:dyDescent="0.35">
      <c r="A12" s="1"/>
      <c r="C12" s="8" t="s">
        <v>38</v>
      </c>
      <c r="D12" s="9" t="s">
        <v>39</v>
      </c>
    </row>
    <row r="13" spans="1:4" ht="20.25" x14ac:dyDescent="0.35">
      <c r="A13" s="1"/>
      <c r="C13" s="8" t="s">
        <v>40</v>
      </c>
      <c r="D13" s="9" t="s">
        <v>41</v>
      </c>
    </row>
    <row r="14" spans="1:4" ht="20.25" x14ac:dyDescent="0.35">
      <c r="A14" s="1"/>
      <c r="C14" s="8" t="s">
        <v>42</v>
      </c>
      <c r="D14" s="13">
        <v>12345789</v>
      </c>
    </row>
    <row r="15" spans="1:4" ht="20.25" x14ac:dyDescent="0.35">
      <c r="A15" s="1"/>
      <c r="C15" s="8" t="s">
        <v>43</v>
      </c>
      <c r="D15" s="14">
        <v>3123456789</v>
      </c>
    </row>
    <row r="16" spans="1:4" ht="20.25" x14ac:dyDescent="0.35">
      <c r="A16" s="1"/>
      <c r="C16" s="8" t="s">
        <v>44</v>
      </c>
      <c r="D16" s="15">
        <v>31123456789</v>
      </c>
    </row>
    <row r="17" spans="1:4" ht="20.25" x14ac:dyDescent="0.35">
      <c r="A17" s="1"/>
      <c r="C17" s="8" t="s">
        <v>45</v>
      </c>
      <c r="D17" s="16" t="s">
        <v>46</v>
      </c>
    </row>
    <row r="18" spans="1:4" ht="20.25" x14ac:dyDescent="0.35">
      <c r="A18" s="1"/>
      <c r="C18" s="8" t="s">
        <v>47</v>
      </c>
      <c r="D18" s="9" t="s">
        <v>48</v>
      </c>
    </row>
    <row r="19" spans="1:4" ht="20.25" x14ac:dyDescent="0.35">
      <c r="A19" s="1"/>
      <c r="C19" s="8" t="s">
        <v>49</v>
      </c>
      <c r="D19" s="9" t="s">
        <v>48</v>
      </c>
    </row>
    <row r="20" spans="1:4" ht="20.25" x14ac:dyDescent="0.35">
      <c r="A20" s="1"/>
      <c r="C20" s="8" t="s">
        <v>50</v>
      </c>
      <c r="D20" s="9" t="s">
        <v>48</v>
      </c>
    </row>
    <row r="21" spans="1:4" ht="18.75" x14ac:dyDescent="0.3">
      <c r="A21" s="1"/>
      <c r="C21" s="17"/>
      <c r="D21" s="17"/>
    </row>
    <row r="22" spans="1:4" x14ac:dyDescent="0.25">
      <c r="A22" s="1"/>
    </row>
    <row r="23" spans="1:4" x14ac:dyDescent="0.25">
      <c r="A23" s="1"/>
    </row>
    <row r="24" spans="1:4" x14ac:dyDescent="0.25">
      <c r="A24" s="1"/>
    </row>
    <row r="25" spans="1:4" x14ac:dyDescent="0.25">
      <c r="A25" s="1"/>
    </row>
    <row r="26" spans="1:4" x14ac:dyDescent="0.25">
      <c r="A26" s="1"/>
    </row>
    <row r="27" spans="1:4" ht="9" customHeight="1" x14ac:dyDescent="0.25">
      <c r="A27" s="1"/>
    </row>
    <row r="28" spans="1:4" ht="2.25" customHeight="1" x14ac:dyDescent="0.25">
      <c r="A28" s="1"/>
    </row>
    <row r="29" spans="1:4" ht="0.75" customHeight="1" x14ac:dyDescent="0.25">
      <c r="A29" s="1"/>
    </row>
    <row r="30" spans="1:4" x14ac:dyDescent="0.25">
      <c r="A30" s="1"/>
    </row>
    <row r="31" spans="1:4" ht="15.75" customHeight="1" x14ac:dyDescent="0.25">
      <c r="A31" s="1"/>
    </row>
    <row r="32" spans="1:4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</sheetData>
  <mergeCells count="1">
    <mergeCell ref="C5:D5"/>
  </mergeCells>
  <phoneticPr fontId="6" type="noConversion"/>
  <dataValidations count="1">
    <dataValidation type="list" allowBlank="1" showInputMessage="1" showErrorMessage="1" sqref="D18:D20" xr:uid="{34667644-BA0D-4FCD-AD4D-C71A4199A4B9}">
      <formula1>"SIM,NÃO"</formula1>
    </dataValidation>
  </dataValidations>
  <hyperlinks>
    <hyperlink ref="D17" r:id="rId1" xr:uid="{87261438-EFC4-43A2-B389-3DE18EB7E8F4}"/>
  </hyperlinks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D200E-2444-43E6-96D4-3ABC3783C35A}">
  <sheetPr codeName="Planilha4"/>
  <dimension ref="A1:D44"/>
  <sheetViews>
    <sheetView showGridLines="0" zoomScaleNormal="100" workbookViewId="0">
      <selection activeCell="D32" sqref="D32"/>
    </sheetView>
  </sheetViews>
  <sheetFormatPr defaultRowHeight="15" x14ac:dyDescent="0.25"/>
  <cols>
    <col min="1" max="1" width="50.7109375" customWidth="1"/>
    <col min="3" max="3" width="34.5703125" customWidth="1"/>
    <col min="4" max="4" width="37.5703125" customWidth="1"/>
  </cols>
  <sheetData>
    <row r="1" spans="1:4" x14ac:dyDescent="0.25">
      <c r="A1" s="1"/>
    </row>
    <row r="2" spans="1:4" x14ac:dyDescent="0.25">
      <c r="A2" s="1"/>
    </row>
    <row r="3" spans="1:4" ht="20.25" thickBot="1" x14ac:dyDescent="0.35">
      <c r="A3" s="1"/>
      <c r="C3" s="2" t="s">
        <v>51</v>
      </c>
      <c r="D3" s="3"/>
    </row>
    <row r="4" spans="1:4" ht="15.75" thickTop="1" x14ac:dyDescent="0.25">
      <c r="A4" s="1"/>
      <c r="C4" s="51" t="s">
        <v>52</v>
      </c>
      <c r="D4" s="51"/>
    </row>
    <row r="5" spans="1:4" ht="16.5" customHeight="1" x14ac:dyDescent="0.25">
      <c r="A5" s="1"/>
    </row>
    <row r="6" spans="1:4" x14ac:dyDescent="0.25">
      <c r="A6" s="1"/>
      <c r="C6" s="52" t="s">
        <v>53</v>
      </c>
      <c r="D6" s="52"/>
    </row>
    <row r="7" spans="1:4" ht="14.25" customHeight="1" x14ac:dyDescent="0.3">
      <c r="A7" s="1"/>
      <c r="C7" s="49">
        <f>SUM(D11,D17,D23)</f>
        <v>5154</v>
      </c>
      <c r="D7" s="50"/>
    </row>
    <row r="8" spans="1:4" x14ac:dyDescent="0.25">
      <c r="A8" s="1"/>
    </row>
    <row r="9" spans="1:4" x14ac:dyDescent="0.25">
      <c r="A9" s="1"/>
      <c r="C9" s="4" t="s">
        <v>54</v>
      </c>
    </row>
    <row r="10" spans="1:4" x14ac:dyDescent="0.25">
      <c r="A10" s="1"/>
      <c r="C10" s="34" t="s">
        <v>55</v>
      </c>
      <c r="D10" s="35" t="s">
        <v>56</v>
      </c>
    </row>
    <row r="11" spans="1:4" x14ac:dyDescent="0.25">
      <c r="A11" s="1"/>
      <c r="C11" s="32" t="s">
        <v>57</v>
      </c>
      <c r="D11" s="33">
        <v>1200</v>
      </c>
    </row>
    <row r="12" spans="1:4" x14ac:dyDescent="0.25">
      <c r="A12" s="1"/>
      <c r="C12" s="36" t="s">
        <v>58</v>
      </c>
      <c r="D12" s="37" t="s">
        <v>59</v>
      </c>
    </row>
    <row r="13" spans="1:4" x14ac:dyDescent="0.25">
      <c r="A13" s="1"/>
    </row>
    <row r="14" spans="1:4" x14ac:dyDescent="0.25">
      <c r="A14" s="1"/>
    </row>
    <row r="15" spans="1:4" x14ac:dyDescent="0.25">
      <c r="A15" s="1"/>
      <c r="C15" s="4" t="s">
        <v>60</v>
      </c>
    </row>
    <row r="16" spans="1:4" x14ac:dyDescent="0.25">
      <c r="A16" s="1"/>
      <c r="C16" s="34" t="s">
        <v>55</v>
      </c>
      <c r="D16" s="35" t="s">
        <v>56</v>
      </c>
    </row>
    <row r="17" spans="1:4" x14ac:dyDescent="0.25">
      <c r="A17" s="1"/>
      <c r="C17" s="32" t="s">
        <v>57</v>
      </c>
      <c r="D17" s="33">
        <v>3654</v>
      </c>
    </row>
    <row r="18" spans="1:4" x14ac:dyDescent="0.25">
      <c r="A18" s="1"/>
      <c r="C18" s="36" t="s">
        <v>58</v>
      </c>
      <c r="D18" s="37" t="s">
        <v>59</v>
      </c>
    </row>
    <row r="19" spans="1:4" x14ac:dyDescent="0.25">
      <c r="A19" s="1"/>
    </row>
    <row r="20" spans="1:4" x14ac:dyDescent="0.25">
      <c r="A20" s="1"/>
    </row>
    <row r="21" spans="1:4" x14ac:dyDescent="0.25">
      <c r="A21" s="1"/>
      <c r="C21" s="4" t="s">
        <v>61</v>
      </c>
    </row>
    <row r="22" spans="1:4" x14ac:dyDescent="0.25">
      <c r="A22" s="1"/>
      <c r="C22" s="34" t="s">
        <v>55</v>
      </c>
      <c r="D22" s="35" t="s">
        <v>56</v>
      </c>
    </row>
    <row r="23" spans="1:4" x14ac:dyDescent="0.25">
      <c r="A23" s="1"/>
      <c r="C23" s="32" t="s">
        <v>57</v>
      </c>
      <c r="D23" s="33">
        <v>300</v>
      </c>
    </row>
    <row r="24" spans="1:4" x14ac:dyDescent="0.25">
      <c r="A24" s="1"/>
      <c r="C24" s="36" t="s">
        <v>58</v>
      </c>
      <c r="D24" s="37" t="s">
        <v>59</v>
      </c>
    </row>
    <row r="25" spans="1:4" x14ac:dyDescent="0.25">
      <c r="A25" s="1"/>
    </row>
    <row r="26" spans="1:4" x14ac:dyDescent="0.25">
      <c r="A26" s="1"/>
    </row>
    <row r="27" spans="1:4" x14ac:dyDescent="0.25">
      <c r="A27" s="1"/>
    </row>
    <row r="28" spans="1:4" x14ac:dyDescent="0.25">
      <c r="A28" s="1"/>
    </row>
    <row r="29" spans="1:4" x14ac:dyDescent="0.25">
      <c r="A29" s="1"/>
    </row>
    <row r="30" spans="1:4" x14ac:dyDescent="0.25">
      <c r="A30" s="1"/>
    </row>
    <row r="31" spans="1:4" x14ac:dyDescent="0.25">
      <c r="A31" s="1"/>
    </row>
    <row r="32" spans="1:4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</sheetData>
  <mergeCells count="3">
    <mergeCell ref="C7:D7"/>
    <mergeCell ref="C4:D4"/>
    <mergeCell ref="C6:D6"/>
  </mergeCells>
  <dataValidations count="1">
    <dataValidation type="list" allowBlank="1" showInputMessage="1" showErrorMessage="1" errorTitle="Banco não encontrado" error="Informe um banco da lista" promptTitle="Informe um banco" prompt="Informe um banco vinculado ao seu cpf" sqref="D22 D16" xr:uid="{7F3E3E6B-B5A2-42DC-B18F-395320B423CD}">
      <formula1>#REF!</formula1>
    </dataValidation>
  </dataValidations>
  <pageMargins left="0.511811024" right="0.511811024" top="0.78740157499999996" bottom="0.78740157499999996" header="0.31496062000000002" footer="0.31496062000000002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CB9E3807-1F00-4620-9F10-C3A49954774F}">
          <x14:formula1>
            <xm:f>BANCOS!$A:$A</xm:f>
          </x14:formula1>
          <xm:sqref>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238E7-E49D-48B2-B75E-D565644B24D6}">
  <sheetPr codeName="Planilha3"/>
  <dimension ref="A1:E44"/>
  <sheetViews>
    <sheetView showGridLines="0" zoomScale="115" zoomScaleNormal="115" workbookViewId="0">
      <selection activeCell="D9" sqref="D9"/>
    </sheetView>
  </sheetViews>
  <sheetFormatPr defaultRowHeight="15" x14ac:dyDescent="0.25"/>
  <cols>
    <col min="1" max="1" width="50.7109375" customWidth="1"/>
    <col min="3" max="5" width="25.7109375" customWidth="1"/>
    <col min="7" max="9" width="20.7109375" customWidth="1"/>
  </cols>
  <sheetData>
    <row r="1" spans="1:5" x14ac:dyDescent="0.25">
      <c r="A1" s="1"/>
    </row>
    <row r="2" spans="1:5" x14ac:dyDescent="0.25">
      <c r="A2" s="1"/>
    </row>
    <row r="3" spans="1:5" ht="20.25" thickBot="1" x14ac:dyDescent="0.35">
      <c r="A3" s="1"/>
      <c r="C3" s="2" t="s">
        <v>62</v>
      </c>
      <c r="D3" s="3"/>
      <c r="E3" s="3"/>
    </row>
    <row r="4" spans="1:5" ht="15.75" thickTop="1" x14ac:dyDescent="0.25">
      <c r="A4" s="1"/>
      <c r="C4" s="53" t="s">
        <v>63</v>
      </c>
      <c r="D4" s="54"/>
      <c r="E4" s="54"/>
    </row>
    <row r="5" spans="1:5" x14ac:dyDescent="0.25">
      <c r="A5" s="1"/>
    </row>
    <row r="6" spans="1:5" x14ac:dyDescent="0.25">
      <c r="A6" s="1"/>
    </row>
    <row r="7" spans="1:5" x14ac:dyDescent="0.25">
      <c r="A7" s="1"/>
      <c r="C7" s="55" t="s">
        <v>64</v>
      </c>
      <c r="D7" s="55"/>
      <c r="E7" s="55"/>
    </row>
    <row r="8" spans="1:5" x14ac:dyDescent="0.25">
      <c r="A8" s="1"/>
      <c r="C8" s="5" t="s">
        <v>11</v>
      </c>
      <c r="D8" s="5" t="s">
        <v>21</v>
      </c>
      <c r="E8" s="5" t="s">
        <v>13</v>
      </c>
    </row>
    <row r="9" spans="1:5" x14ac:dyDescent="0.25">
      <c r="A9" s="1"/>
      <c r="C9" s="7">
        <v>45680</v>
      </c>
      <c r="D9" s="38" t="s">
        <v>65</v>
      </c>
      <c r="E9" s="6">
        <v>3000</v>
      </c>
    </row>
    <row r="10" spans="1:5" x14ac:dyDescent="0.25">
      <c r="A10" s="1"/>
      <c r="C10" s="7">
        <v>45712</v>
      </c>
      <c r="D10" s="38" t="s">
        <v>65</v>
      </c>
      <c r="E10" s="6">
        <v>3000</v>
      </c>
    </row>
    <row r="11" spans="1:5" x14ac:dyDescent="0.25">
      <c r="A11" s="1"/>
      <c r="C11" s="7">
        <v>45744</v>
      </c>
      <c r="D11" s="38" t="s">
        <v>65</v>
      </c>
      <c r="E11" s="6">
        <v>3000</v>
      </c>
    </row>
    <row r="12" spans="1:5" x14ac:dyDescent="0.25">
      <c r="A12" s="1"/>
      <c r="C12" s="7">
        <v>45776</v>
      </c>
      <c r="D12" s="38" t="s">
        <v>65</v>
      </c>
      <c r="E12" s="6">
        <v>3000</v>
      </c>
    </row>
    <row r="13" spans="1:5" x14ac:dyDescent="0.25">
      <c r="A13" s="1"/>
      <c r="C13" s="7">
        <v>45808</v>
      </c>
      <c r="D13" s="38" t="s">
        <v>65</v>
      </c>
      <c r="E13" s="6">
        <v>3000</v>
      </c>
    </row>
    <row r="14" spans="1:5" x14ac:dyDescent="0.25">
      <c r="A14" s="1"/>
      <c r="C14" s="7">
        <v>45840</v>
      </c>
      <c r="D14" s="38" t="s">
        <v>65</v>
      </c>
      <c r="E14" s="6">
        <v>3000</v>
      </c>
    </row>
    <row r="15" spans="1:5" x14ac:dyDescent="0.25">
      <c r="A15" s="1"/>
      <c r="C15" s="7">
        <v>45872</v>
      </c>
      <c r="D15" s="38" t="s">
        <v>65</v>
      </c>
      <c r="E15" s="6">
        <v>3000</v>
      </c>
    </row>
    <row r="16" spans="1:5" x14ac:dyDescent="0.25">
      <c r="A16" s="1"/>
      <c r="C16" s="7">
        <v>45904</v>
      </c>
      <c r="D16" s="38" t="s">
        <v>65</v>
      </c>
      <c r="E16" s="6">
        <v>3000</v>
      </c>
    </row>
    <row r="17" spans="1:5" x14ac:dyDescent="0.25">
      <c r="A17" s="1"/>
      <c r="C17" s="7">
        <v>45936</v>
      </c>
      <c r="D17" s="38" t="s">
        <v>65</v>
      </c>
      <c r="E17" s="6">
        <v>3000</v>
      </c>
    </row>
    <row r="18" spans="1:5" x14ac:dyDescent="0.25">
      <c r="A18" s="1"/>
      <c r="C18" s="7">
        <v>45968</v>
      </c>
      <c r="D18" s="38" t="s">
        <v>65</v>
      </c>
      <c r="E18" s="6">
        <v>3000</v>
      </c>
    </row>
    <row r="19" spans="1:5" x14ac:dyDescent="0.25">
      <c r="A19" s="1"/>
      <c r="C19" s="7">
        <v>46000</v>
      </c>
      <c r="D19" s="38" t="s">
        <v>65</v>
      </c>
      <c r="E19" s="6">
        <v>3000</v>
      </c>
    </row>
    <row r="20" spans="1:5" x14ac:dyDescent="0.25">
      <c r="A20" s="1"/>
      <c r="C20" s="7">
        <v>46001</v>
      </c>
      <c r="D20" s="38" t="s">
        <v>66</v>
      </c>
      <c r="E20" s="6">
        <v>250</v>
      </c>
    </row>
    <row r="21" spans="1:5" x14ac:dyDescent="0.25">
      <c r="A21" s="1"/>
      <c r="C21" s="7"/>
      <c r="D21" s="38"/>
      <c r="E21" s="6"/>
    </row>
    <row r="22" spans="1:5" x14ac:dyDescent="0.25">
      <c r="A22" s="1"/>
      <c r="C22" s="7"/>
      <c r="D22" s="38"/>
      <c r="E22" s="6"/>
    </row>
    <row r="23" spans="1:5" x14ac:dyDescent="0.25">
      <c r="A23" s="1"/>
      <c r="C23" s="7"/>
      <c r="D23" s="38"/>
      <c r="E23" s="6"/>
    </row>
    <row r="24" spans="1:5" x14ac:dyDescent="0.25">
      <c r="A24" s="1"/>
      <c r="C24" s="7"/>
      <c r="D24" s="38"/>
      <c r="E24" s="6"/>
    </row>
    <row r="25" spans="1:5" x14ac:dyDescent="0.25">
      <c r="A25" s="1"/>
      <c r="C25" s="7"/>
      <c r="D25" s="38"/>
      <c r="E25" s="6"/>
    </row>
    <row r="26" spans="1:5" x14ac:dyDescent="0.25">
      <c r="A26" s="1"/>
      <c r="C26" s="38"/>
      <c r="D26" s="38"/>
      <c r="E26" s="6"/>
    </row>
    <row r="27" spans="1:5" x14ac:dyDescent="0.25">
      <c r="A27" s="1"/>
    </row>
    <row r="28" spans="1:5" x14ac:dyDescent="0.25">
      <c r="A28" s="1"/>
    </row>
    <row r="29" spans="1:5" x14ac:dyDescent="0.25">
      <c r="A29" s="1"/>
    </row>
    <row r="30" spans="1:5" x14ac:dyDescent="0.25">
      <c r="A30" s="1"/>
    </row>
    <row r="31" spans="1:5" x14ac:dyDescent="0.25">
      <c r="A31" s="1"/>
    </row>
    <row r="32" spans="1:5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</sheetData>
  <mergeCells count="2">
    <mergeCell ref="C4:E4"/>
    <mergeCell ref="C7:E7"/>
  </mergeCells>
  <dataValidations count="1">
    <dataValidation type="list" allowBlank="1" showInputMessage="1" showErrorMessage="1" sqref="D9:D26" xr:uid="{E4C9CB0D-11E1-456C-BBE5-2FDF5649BBF3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4DAD8-F34C-44A0-B16F-D774B1B84BDF}">
  <sheetPr codeName="Planilha5"/>
  <dimension ref="A1:F44"/>
  <sheetViews>
    <sheetView showGridLines="0" zoomScale="115" zoomScaleNormal="115" workbookViewId="0">
      <selection activeCell="D18" sqref="D18"/>
    </sheetView>
  </sheetViews>
  <sheetFormatPr defaultRowHeight="15" x14ac:dyDescent="0.25"/>
  <cols>
    <col min="1" max="1" width="50.7109375" customWidth="1"/>
    <col min="3" max="5" width="27.7109375" customWidth="1"/>
    <col min="6" max="6" width="25.7109375" customWidth="1"/>
    <col min="8" max="8" width="26.28515625" customWidth="1"/>
    <col min="9" max="10" width="20.7109375" customWidth="1"/>
  </cols>
  <sheetData>
    <row r="1" spans="1:6" x14ac:dyDescent="0.25">
      <c r="A1" s="1"/>
    </row>
    <row r="2" spans="1:6" x14ac:dyDescent="0.25">
      <c r="A2" s="1"/>
    </row>
    <row r="3" spans="1:6" ht="20.25" thickBot="1" x14ac:dyDescent="0.35">
      <c r="A3" s="1"/>
      <c r="C3" s="2" t="s">
        <v>67</v>
      </c>
      <c r="D3" s="3"/>
      <c r="E3" s="3"/>
      <c r="F3" s="3"/>
    </row>
    <row r="4" spans="1:6" ht="15.75" thickTop="1" x14ac:dyDescent="0.25">
      <c r="A4" s="1"/>
      <c r="C4" s="51" t="s">
        <v>68</v>
      </c>
      <c r="D4" s="51"/>
      <c r="E4" s="51"/>
      <c r="F4" s="51"/>
    </row>
    <row r="5" spans="1:6" x14ac:dyDescent="0.25">
      <c r="A5" s="1"/>
    </row>
    <row r="6" spans="1:6" x14ac:dyDescent="0.25">
      <c r="A6" s="1"/>
    </row>
    <row r="7" spans="1:6" x14ac:dyDescent="0.25">
      <c r="A7" s="1"/>
      <c r="C7" s="55" t="s">
        <v>69</v>
      </c>
      <c r="D7" s="55"/>
      <c r="E7" s="55"/>
      <c r="F7" s="55"/>
    </row>
    <row r="8" spans="1:6" x14ac:dyDescent="0.25">
      <c r="A8" s="1"/>
      <c r="C8" s="5" t="s">
        <v>11</v>
      </c>
      <c r="D8" s="5" t="s">
        <v>21</v>
      </c>
      <c r="E8" s="5" t="s">
        <v>70</v>
      </c>
      <c r="F8" s="5" t="s">
        <v>13</v>
      </c>
    </row>
    <row r="9" spans="1:6" x14ac:dyDescent="0.25">
      <c r="A9" s="1"/>
      <c r="C9" s="7">
        <v>45680</v>
      </c>
      <c r="D9" s="38" t="s">
        <v>71</v>
      </c>
      <c r="E9" s="38" t="s">
        <v>72</v>
      </c>
      <c r="F9" s="6">
        <v>3000</v>
      </c>
    </row>
    <row r="10" spans="1:6" x14ac:dyDescent="0.25">
      <c r="A10" s="1"/>
      <c r="C10" s="7">
        <v>45681</v>
      </c>
      <c r="D10" s="38" t="s">
        <v>73</v>
      </c>
      <c r="E10" s="38" t="s">
        <v>74</v>
      </c>
      <c r="F10" s="6">
        <v>500</v>
      </c>
    </row>
    <row r="11" spans="1:6" x14ac:dyDescent="0.25">
      <c r="A11" s="1"/>
      <c r="C11" s="7">
        <v>45741</v>
      </c>
      <c r="D11" s="38" t="s">
        <v>75</v>
      </c>
      <c r="E11" s="38" t="s">
        <v>76</v>
      </c>
      <c r="F11" s="6">
        <v>1200</v>
      </c>
    </row>
    <row r="12" spans="1:6" x14ac:dyDescent="0.25">
      <c r="A12" s="1"/>
      <c r="C12" s="20">
        <v>45717</v>
      </c>
      <c r="D12" s="38" t="s">
        <v>77</v>
      </c>
      <c r="E12" s="38" t="s">
        <v>78</v>
      </c>
      <c r="F12" s="6">
        <v>100</v>
      </c>
    </row>
    <row r="13" spans="1:6" x14ac:dyDescent="0.25">
      <c r="A13" s="1"/>
      <c r="C13" s="20">
        <v>45689</v>
      </c>
      <c r="D13" s="38" t="s">
        <v>77</v>
      </c>
      <c r="E13" s="38" t="s">
        <v>79</v>
      </c>
      <c r="F13" s="6">
        <v>500</v>
      </c>
    </row>
    <row r="14" spans="1:6" x14ac:dyDescent="0.25">
      <c r="A14" s="1"/>
      <c r="C14" s="20">
        <v>45748</v>
      </c>
      <c r="D14" s="38" t="s">
        <v>73</v>
      </c>
      <c r="E14" s="38" t="s">
        <v>80</v>
      </c>
      <c r="F14" s="6">
        <v>1500</v>
      </c>
    </row>
    <row r="15" spans="1:6" x14ac:dyDescent="0.25">
      <c r="A15" s="1"/>
      <c r="C15" s="20">
        <v>45778</v>
      </c>
      <c r="D15" s="38" t="s">
        <v>75</v>
      </c>
      <c r="E15" s="38" t="s">
        <v>81</v>
      </c>
      <c r="F15" s="6">
        <v>1000</v>
      </c>
    </row>
    <row r="16" spans="1:6" x14ac:dyDescent="0.25">
      <c r="A16" s="1"/>
      <c r="C16" s="20">
        <v>45809</v>
      </c>
      <c r="D16" s="38" t="s">
        <v>71</v>
      </c>
      <c r="E16" s="38" t="s">
        <v>82</v>
      </c>
      <c r="F16" s="6">
        <v>400</v>
      </c>
    </row>
    <row r="17" spans="1:6" x14ac:dyDescent="0.25">
      <c r="A17" s="1"/>
      <c r="C17" s="20">
        <v>45839</v>
      </c>
      <c r="D17" s="38" t="s">
        <v>71</v>
      </c>
      <c r="E17" s="38" t="s">
        <v>83</v>
      </c>
      <c r="F17" s="6">
        <v>200</v>
      </c>
    </row>
    <row r="18" spans="1:6" x14ac:dyDescent="0.25">
      <c r="A18" s="1"/>
      <c r="C18" s="20"/>
      <c r="D18" s="38"/>
      <c r="E18" s="38"/>
      <c r="F18" s="6"/>
    </row>
    <row r="19" spans="1:6" x14ac:dyDescent="0.25">
      <c r="A19" s="1"/>
      <c r="C19" s="20"/>
      <c r="D19" s="38"/>
      <c r="E19" s="38"/>
      <c r="F19" s="6"/>
    </row>
    <row r="20" spans="1:6" x14ac:dyDescent="0.25">
      <c r="A20" s="1"/>
      <c r="C20" s="20"/>
      <c r="D20" s="38"/>
      <c r="E20" s="38"/>
      <c r="F20" s="6"/>
    </row>
    <row r="21" spans="1:6" x14ac:dyDescent="0.25">
      <c r="A21" s="1"/>
      <c r="C21" s="20"/>
      <c r="D21" s="38"/>
      <c r="E21" s="38"/>
      <c r="F21" s="6"/>
    </row>
    <row r="22" spans="1:6" x14ac:dyDescent="0.25">
      <c r="A22" s="1"/>
      <c r="C22" s="20"/>
      <c r="D22" s="38"/>
      <c r="E22" s="38"/>
      <c r="F22" s="6"/>
    </row>
    <row r="23" spans="1:6" x14ac:dyDescent="0.25">
      <c r="A23" s="1"/>
      <c r="C23" s="20"/>
      <c r="D23" s="38"/>
      <c r="E23" s="38"/>
      <c r="F23" s="6"/>
    </row>
    <row r="24" spans="1:6" x14ac:dyDescent="0.25">
      <c r="A24" s="1"/>
      <c r="C24" s="20"/>
      <c r="D24" s="38"/>
      <c r="E24" s="38"/>
      <c r="F24" s="6"/>
    </row>
    <row r="25" spans="1:6" x14ac:dyDescent="0.25">
      <c r="A25" s="1"/>
      <c r="C25" s="20"/>
      <c r="D25" s="38"/>
      <c r="E25" s="38"/>
      <c r="F25" s="6"/>
    </row>
    <row r="26" spans="1:6" x14ac:dyDescent="0.25">
      <c r="A26" s="1"/>
      <c r="C26" s="20"/>
      <c r="D26" s="38"/>
      <c r="E26" s="38"/>
      <c r="F26" s="6"/>
    </row>
    <row r="27" spans="1:6" x14ac:dyDescent="0.25">
      <c r="A27" s="1"/>
    </row>
    <row r="28" spans="1:6" x14ac:dyDescent="0.25">
      <c r="A28" s="1"/>
    </row>
    <row r="29" spans="1:6" x14ac:dyDescent="0.25">
      <c r="A29" s="1"/>
    </row>
    <row r="30" spans="1:6" x14ac:dyDescent="0.25">
      <c r="A30" s="1"/>
    </row>
    <row r="31" spans="1:6" x14ac:dyDescent="0.25">
      <c r="A31" s="1"/>
    </row>
    <row r="32" spans="1:6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</sheetData>
  <mergeCells count="2">
    <mergeCell ref="C7:F7"/>
    <mergeCell ref="C4:F4"/>
  </mergeCells>
  <dataValidations count="1">
    <dataValidation type="list" allowBlank="1" showInputMessage="1" showErrorMessage="1" sqref="D9:D26" xr:uid="{DAF1A7BB-1B16-499B-9774-499052B1AF3F}">
      <formula1>"MÉDICO,PSICOLOGO,EXAMES,EDCUCAÇÃO,PENSÃO"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F9A10-5F95-4648-BBC0-930563FAE908}">
  <sheetPr codeName="Planilha6"/>
  <dimension ref="A1:E45"/>
  <sheetViews>
    <sheetView showGridLines="0" tabSelected="1" zoomScale="115" zoomScaleNormal="115" workbookViewId="0">
      <selection activeCell="C37" sqref="C37"/>
    </sheetView>
  </sheetViews>
  <sheetFormatPr defaultRowHeight="15" x14ac:dyDescent="0.25"/>
  <cols>
    <col min="1" max="1" width="50.7109375" customWidth="1"/>
    <col min="3" max="3" width="28.85546875" customWidth="1"/>
    <col min="4" max="4" width="33.42578125" customWidth="1"/>
    <col min="5" max="5" width="23.7109375" customWidth="1"/>
  </cols>
  <sheetData>
    <row r="1" spans="1:5" x14ac:dyDescent="0.25">
      <c r="A1" s="1"/>
    </row>
    <row r="2" spans="1:5" x14ac:dyDescent="0.25">
      <c r="A2" s="1"/>
    </row>
    <row r="3" spans="1:5" x14ac:dyDescent="0.25">
      <c r="A3" s="1"/>
    </row>
    <row r="4" spans="1:5" ht="20.25" thickBot="1" x14ac:dyDescent="0.35">
      <c r="A4" s="1"/>
      <c r="C4" s="2" t="s">
        <v>84</v>
      </c>
      <c r="D4" s="3"/>
    </row>
    <row r="5" spans="1:5" ht="21" customHeight="1" thickTop="1" x14ac:dyDescent="0.25">
      <c r="A5" s="1"/>
      <c r="C5" s="47" t="s">
        <v>85</v>
      </c>
      <c r="D5" s="48"/>
    </row>
    <row r="6" spans="1:5" ht="21" customHeight="1" x14ac:dyDescent="0.25">
      <c r="A6" s="1"/>
    </row>
    <row r="7" spans="1:5" x14ac:dyDescent="0.25">
      <c r="A7" s="1"/>
    </row>
    <row r="8" spans="1:5" x14ac:dyDescent="0.25">
      <c r="A8" s="1"/>
      <c r="C8" s="28" t="s">
        <v>86</v>
      </c>
      <c r="D8" s="29" t="s">
        <v>87</v>
      </c>
      <c r="E8" s="30" t="s">
        <v>88</v>
      </c>
    </row>
    <row r="9" spans="1:5" x14ac:dyDescent="0.25">
      <c r="A9" s="1"/>
      <c r="C9" s="31">
        <f>SUM(Tab_Receitas[VALOR])</f>
        <v>33250</v>
      </c>
      <c r="D9" s="31">
        <f>SUM(Tabela_Despesas[VALOR])</f>
        <v>8400</v>
      </c>
      <c r="E9" s="31">
        <f>SUM(C9,D9)</f>
        <v>41650</v>
      </c>
    </row>
    <row r="10" spans="1:5" x14ac:dyDescent="0.25">
      <c r="A10" s="1"/>
    </row>
    <row r="11" spans="1:5" x14ac:dyDescent="0.25">
      <c r="A11" s="1"/>
    </row>
    <row r="12" spans="1:5" x14ac:dyDescent="0.25">
      <c r="A12" s="1"/>
    </row>
    <row r="13" spans="1:5" x14ac:dyDescent="0.25">
      <c r="A13" s="1"/>
    </row>
    <row r="14" spans="1:5" x14ac:dyDescent="0.25">
      <c r="A14" s="1"/>
    </row>
    <row r="15" spans="1:5" x14ac:dyDescent="0.25">
      <c r="A15" s="1"/>
    </row>
    <row r="16" spans="1:5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ht="15.75" customHeight="1" x14ac:dyDescent="0.25">
      <c r="A32" s="1"/>
    </row>
    <row r="33" spans="1:3" x14ac:dyDescent="0.25">
      <c r="A33" s="1"/>
    </row>
    <row r="34" spans="1:3" x14ac:dyDescent="0.25">
      <c r="A34" s="1"/>
    </row>
    <row r="35" spans="1:3" x14ac:dyDescent="0.25">
      <c r="A35" s="1"/>
    </row>
    <row r="36" spans="1:3" x14ac:dyDescent="0.25">
      <c r="A36" s="1"/>
    </row>
    <row r="37" spans="1:3" x14ac:dyDescent="0.25">
      <c r="A37" s="1"/>
      <c r="C37" s="56" t="s">
        <v>143</v>
      </c>
    </row>
    <row r="38" spans="1:3" x14ac:dyDescent="0.25">
      <c r="A38" s="1"/>
    </row>
    <row r="39" spans="1:3" x14ac:dyDescent="0.25">
      <c r="A39" s="1"/>
    </row>
    <row r="40" spans="1:3" x14ac:dyDescent="0.25">
      <c r="A40" s="1"/>
    </row>
    <row r="41" spans="1:3" x14ac:dyDescent="0.25">
      <c r="A41" s="1"/>
    </row>
    <row r="42" spans="1:3" x14ac:dyDescent="0.25">
      <c r="A42" s="1"/>
    </row>
    <row r="43" spans="1:3" x14ac:dyDescent="0.25">
      <c r="A43" s="1"/>
    </row>
    <row r="44" spans="1:3" x14ac:dyDescent="0.25">
      <c r="A44" s="1"/>
    </row>
    <row r="45" spans="1:3" x14ac:dyDescent="0.25">
      <c r="A45" s="1"/>
    </row>
  </sheetData>
  <mergeCells count="1">
    <mergeCell ref="C5:D5"/>
  </mergeCells>
  <dataValidations count="1">
    <dataValidation type="list" allowBlank="1" showInputMessage="1" showErrorMessage="1" sqref="D8" xr:uid="{BEB49953-5579-4F06-A8D7-D8B8F98B1FDB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58000-222A-4637-B93F-6921BB81EFD2}">
  <sheetPr codeName="Planilha7"/>
  <dimension ref="A3:B18"/>
  <sheetViews>
    <sheetView workbookViewId="0">
      <selection activeCell="E17" sqref="E17"/>
    </sheetView>
  </sheetViews>
  <sheetFormatPr defaultRowHeight="15" x14ac:dyDescent="0.25"/>
  <cols>
    <col min="1" max="1" width="23.140625" bestFit="1" customWidth="1"/>
    <col min="2" max="2" width="15.28515625" bestFit="1" customWidth="1"/>
    <col min="3" max="6" width="20.140625" bestFit="1" customWidth="1"/>
    <col min="7" max="7" width="10.7109375" bestFit="1" customWidth="1"/>
  </cols>
  <sheetData>
    <row r="3" spans="1:2" x14ac:dyDescent="0.25">
      <c r="A3" s="18" t="s">
        <v>89</v>
      </c>
      <c r="B3" t="s">
        <v>90</v>
      </c>
    </row>
    <row r="4" spans="1:2" x14ac:dyDescent="0.25">
      <c r="A4" s="19" t="s">
        <v>73</v>
      </c>
      <c r="B4">
        <v>2000</v>
      </c>
    </row>
    <row r="5" spans="1:2" x14ac:dyDescent="0.25">
      <c r="A5" s="22" t="s">
        <v>74</v>
      </c>
      <c r="B5">
        <v>500</v>
      </c>
    </row>
    <row r="6" spans="1:2" x14ac:dyDescent="0.25">
      <c r="A6" s="22" t="s">
        <v>80</v>
      </c>
      <c r="B6">
        <v>1500</v>
      </c>
    </row>
    <row r="7" spans="1:2" x14ac:dyDescent="0.25">
      <c r="A7" s="19" t="s">
        <v>77</v>
      </c>
      <c r="B7">
        <v>600</v>
      </c>
    </row>
    <row r="8" spans="1:2" x14ac:dyDescent="0.25">
      <c r="A8" s="22" t="s">
        <v>78</v>
      </c>
      <c r="B8">
        <v>100</v>
      </c>
    </row>
    <row r="9" spans="1:2" x14ac:dyDescent="0.25">
      <c r="A9" s="22" t="s">
        <v>79</v>
      </c>
      <c r="B9">
        <v>500</v>
      </c>
    </row>
    <row r="10" spans="1:2" x14ac:dyDescent="0.25">
      <c r="A10" s="19" t="s">
        <v>71</v>
      </c>
      <c r="B10">
        <v>3600</v>
      </c>
    </row>
    <row r="11" spans="1:2" x14ac:dyDescent="0.25">
      <c r="A11" s="22" t="s">
        <v>72</v>
      </c>
      <c r="B11">
        <v>3000</v>
      </c>
    </row>
    <row r="12" spans="1:2" x14ac:dyDescent="0.25">
      <c r="A12" s="22" t="s">
        <v>82</v>
      </c>
      <c r="B12">
        <v>400</v>
      </c>
    </row>
    <row r="13" spans="1:2" x14ac:dyDescent="0.25">
      <c r="A13" s="22" t="s">
        <v>83</v>
      </c>
      <c r="B13">
        <v>200</v>
      </c>
    </row>
    <row r="14" spans="1:2" x14ac:dyDescent="0.25">
      <c r="A14" s="19" t="s">
        <v>75</v>
      </c>
      <c r="B14">
        <v>2200</v>
      </c>
    </row>
    <row r="15" spans="1:2" x14ac:dyDescent="0.25">
      <c r="A15" s="22" t="s">
        <v>76</v>
      </c>
      <c r="B15">
        <v>1200</v>
      </c>
    </row>
    <row r="16" spans="1:2" x14ac:dyDescent="0.25">
      <c r="A16" s="22" t="s">
        <v>81</v>
      </c>
      <c r="B16">
        <v>1000</v>
      </c>
    </row>
    <row r="17" spans="1:2" x14ac:dyDescent="0.25">
      <c r="A17" s="19" t="s">
        <v>91</v>
      </c>
    </row>
    <row r="18" spans="1:2" x14ac:dyDescent="0.25">
      <c r="A18" s="19" t="s">
        <v>92</v>
      </c>
      <c r="B18">
        <v>8400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E9796-36CC-4D35-91A9-FAD58681B7BD}">
  <sheetPr codeName="Planilha8"/>
  <dimension ref="A1"/>
  <sheetViews>
    <sheetView workbookViewId="0">
      <selection activeCell="A3" sqref="A3:B8"/>
    </sheetView>
  </sheetViews>
  <sheetFormatPr defaultRowHeight="15" x14ac:dyDescent="0.25"/>
  <cols>
    <col min="1" max="1" width="11.7109375" bestFit="1" customWidth="1"/>
    <col min="2" max="2" width="15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A3DA7-2A17-40C3-88B2-94742E942C2B}">
  <sheetPr codeName="Planilha9"/>
  <dimension ref="A1:A51"/>
  <sheetViews>
    <sheetView workbookViewId="0">
      <selection sqref="A1:A1048576"/>
    </sheetView>
  </sheetViews>
  <sheetFormatPr defaultRowHeight="15" x14ac:dyDescent="0.25"/>
  <cols>
    <col min="1" max="1" width="39" bestFit="1" customWidth="1"/>
  </cols>
  <sheetData>
    <row r="1" spans="1:1" x14ac:dyDescent="0.25">
      <c r="A1" s="21" t="s">
        <v>93</v>
      </c>
    </row>
    <row r="2" spans="1:1" x14ac:dyDescent="0.25">
      <c r="A2" t="s">
        <v>94</v>
      </c>
    </row>
    <row r="3" spans="1:1" x14ac:dyDescent="0.25">
      <c r="A3" t="s">
        <v>95</v>
      </c>
    </row>
    <row r="4" spans="1:1" x14ac:dyDescent="0.25">
      <c r="A4" t="s">
        <v>96</v>
      </c>
    </row>
    <row r="5" spans="1:1" x14ac:dyDescent="0.25">
      <c r="A5" t="s">
        <v>97</v>
      </c>
    </row>
    <row r="6" spans="1:1" x14ac:dyDescent="0.25">
      <c r="A6" t="s">
        <v>98</v>
      </c>
    </row>
    <row r="7" spans="1:1" x14ac:dyDescent="0.25">
      <c r="A7" t="s">
        <v>99</v>
      </c>
    </row>
    <row r="8" spans="1:1" x14ac:dyDescent="0.25">
      <c r="A8" t="s">
        <v>100</v>
      </c>
    </row>
    <row r="9" spans="1:1" x14ac:dyDescent="0.25">
      <c r="A9" t="s">
        <v>101</v>
      </c>
    </row>
    <row r="10" spans="1:1" x14ac:dyDescent="0.25">
      <c r="A10" t="s">
        <v>102</v>
      </c>
    </row>
    <row r="11" spans="1:1" x14ac:dyDescent="0.25">
      <c r="A11" t="s">
        <v>103</v>
      </c>
    </row>
    <row r="12" spans="1:1" x14ac:dyDescent="0.25">
      <c r="A12" t="s">
        <v>104</v>
      </c>
    </row>
    <row r="13" spans="1:1" x14ac:dyDescent="0.25">
      <c r="A13" t="s">
        <v>105</v>
      </c>
    </row>
    <row r="14" spans="1:1" x14ac:dyDescent="0.25">
      <c r="A14" t="s">
        <v>106</v>
      </c>
    </row>
    <row r="15" spans="1:1" x14ac:dyDescent="0.25">
      <c r="A15" t="s">
        <v>107</v>
      </c>
    </row>
    <row r="16" spans="1:1" x14ac:dyDescent="0.25">
      <c r="A16" t="s">
        <v>108</v>
      </c>
    </row>
    <row r="17" spans="1:1" x14ac:dyDescent="0.25">
      <c r="A17" t="s">
        <v>109</v>
      </c>
    </row>
    <row r="18" spans="1:1" x14ac:dyDescent="0.25">
      <c r="A18" t="s">
        <v>110</v>
      </c>
    </row>
    <row r="19" spans="1:1" x14ac:dyDescent="0.25">
      <c r="A19" t="s">
        <v>111</v>
      </c>
    </row>
    <row r="20" spans="1:1" x14ac:dyDescent="0.25">
      <c r="A20" t="s">
        <v>56</v>
      </c>
    </row>
    <row r="21" spans="1:1" x14ac:dyDescent="0.25">
      <c r="A21" t="s">
        <v>112</v>
      </c>
    </row>
    <row r="22" spans="1:1" x14ac:dyDescent="0.25">
      <c r="A22" t="s">
        <v>113</v>
      </c>
    </row>
    <row r="23" spans="1:1" x14ac:dyDescent="0.25">
      <c r="A23" t="s">
        <v>114</v>
      </c>
    </row>
    <row r="24" spans="1:1" x14ac:dyDescent="0.25">
      <c r="A24" t="s">
        <v>115</v>
      </c>
    </row>
    <row r="25" spans="1:1" x14ac:dyDescent="0.25">
      <c r="A25" t="s">
        <v>116</v>
      </c>
    </row>
    <row r="26" spans="1:1" x14ac:dyDescent="0.25">
      <c r="A26" t="s">
        <v>117</v>
      </c>
    </row>
    <row r="27" spans="1:1" x14ac:dyDescent="0.25">
      <c r="A27" t="s">
        <v>118</v>
      </c>
    </row>
    <row r="28" spans="1:1" x14ac:dyDescent="0.25">
      <c r="A28" t="s">
        <v>119</v>
      </c>
    </row>
    <row r="29" spans="1:1" x14ac:dyDescent="0.25">
      <c r="A29" t="s">
        <v>120</v>
      </c>
    </row>
    <row r="30" spans="1:1" x14ac:dyDescent="0.25">
      <c r="A30" t="s">
        <v>121</v>
      </c>
    </row>
    <row r="31" spans="1:1" x14ac:dyDescent="0.25">
      <c r="A31" t="s">
        <v>122</v>
      </c>
    </row>
    <row r="32" spans="1:1" x14ac:dyDescent="0.25">
      <c r="A32" t="s">
        <v>123</v>
      </c>
    </row>
    <row r="33" spans="1:1" x14ac:dyDescent="0.25">
      <c r="A33" t="s">
        <v>124</v>
      </c>
    </row>
    <row r="34" spans="1:1" x14ac:dyDescent="0.25">
      <c r="A34" t="s">
        <v>125</v>
      </c>
    </row>
    <row r="35" spans="1:1" x14ac:dyDescent="0.25">
      <c r="A35" t="s">
        <v>126</v>
      </c>
    </row>
    <row r="36" spans="1:1" x14ac:dyDescent="0.25">
      <c r="A36" t="s">
        <v>127</v>
      </c>
    </row>
    <row r="37" spans="1:1" x14ac:dyDescent="0.25">
      <c r="A37" t="s">
        <v>128</v>
      </c>
    </row>
    <row r="38" spans="1:1" x14ac:dyDescent="0.25">
      <c r="A38" t="s">
        <v>129</v>
      </c>
    </row>
    <row r="39" spans="1:1" x14ac:dyDescent="0.25">
      <c r="A39" t="s">
        <v>130</v>
      </c>
    </row>
    <row r="40" spans="1:1" x14ac:dyDescent="0.25">
      <c r="A40" t="s">
        <v>131</v>
      </c>
    </row>
    <row r="41" spans="1:1" x14ac:dyDescent="0.25">
      <c r="A41" t="s">
        <v>132</v>
      </c>
    </row>
    <row r="42" spans="1:1" x14ac:dyDescent="0.25">
      <c r="A42" t="s">
        <v>133</v>
      </c>
    </row>
    <row r="43" spans="1:1" x14ac:dyDescent="0.25">
      <c r="A43" t="s">
        <v>134</v>
      </c>
    </row>
    <row r="44" spans="1:1" x14ac:dyDescent="0.25">
      <c r="A44" t="s">
        <v>135</v>
      </c>
    </row>
    <row r="45" spans="1:1" x14ac:dyDescent="0.25">
      <c r="A45" t="s">
        <v>136</v>
      </c>
    </row>
    <row r="46" spans="1:1" x14ac:dyDescent="0.25">
      <c r="A46" t="s">
        <v>137</v>
      </c>
    </row>
    <row r="47" spans="1:1" x14ac:dyDescent="0.25">
      <c r="A47" t="s">
        <v>138</v>
      </c>
    </row>
    <row r="48" spans="1:1" x14ac:dyDescent="0.25">
      <c r="A48" t="s">
        <v>139</v>
      </c>
    </row>
    <row r="49" spans="1:1" x14ac:dyDescent="0.25">
      <c r="A49" t="s">
        <v>140</v>
      </c>
    </row>
    <row r="50" spans="1:1" x14ac:dyDescent="0.25">
      <c r="A50" t="s">
        <v>141</v>
      </c>
    </row>
    <row r="51" spans="1:1" x14ac:dyDescent="0.25">
      <c r="A51" t="s">
        <v>142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COMO PREENCHER</vt:lpstr>
      <vt:lpstr>TÍTULAR</vt:lpstr>
      <vt:lpstr>INFORMES</vt:lpstr>
      <vt:lpstr>RECEITAS</vt:lpstr>
      <vt:lpstr>DESPESAS</vt:lpstr>
      <vt:lpstr>RESUMO FINANCEIRO</vt:lpstr>
      <vt:lpstr>TAB_DESP</vt:lpstr>
      <vt:lpstr>BASE</vt:lpstr>
      <vt:lpstr>BANCOS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Gabriel de Oliveira Martins</dc:creator>
  <cp:keywords/>
  <dc:description/>
  <cp:lastModifiedBy>Bruno Gabriel de Oliveira Martins</cp:lastModifiedBy>
  <cp:revision/>
  <dcterms:created xsi:type="dcterms:W3CDTF">2026-01-22T23:11:15Z</dcterms:created>
  <dcterms:modified xsi:type="dcterms:W3CDTF">2026-01-25T19:30:51Z</dcterms:modified>
  <cp:category/>
  <cp:contentStatus/>
</cp:coreProperties>
</file>
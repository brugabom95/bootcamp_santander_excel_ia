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ga\Desktop\DIO\"/>
    </mc:Choice>
  </mc:AlternateContent>
  <xr:revisionPtr revIDLastSave="0" documentId="13_ncr:1_{F188DD3B-5D2E-48F0-88E1-5112802A4111}" xr6:coauthVersionLast="47" xr6:coauthVersionMax="47" xr10:uidLastSave="{00000000-0000-0000-0000-000000000000}"/>
  <bookViews>
    <workbookView xWindow="-120" yWindow="-120" windowWidth="29040" windowHeight="15840" tabRatio="0" xr2:uid="{0B800CB4-CF31-4A1F-9A5C-8D058B7A1DB7}"/>
  </bookViews>
  <sheets>
    <sheet name="Planilha1" sheetId="1" r:id="rId1"/>
    <sheet name="Apoio" sheetId="2" r:id="rId2"/>
  </sheets>
  <definedNames>
    <definedName name="aporte">Planilha1!$F$21</definedName>
    <definedName name="dividendos_mensais">Planilha1!$F$25</definedName>
    <definedName name="patrimonio">Planilha1!$F$24</definedName>
    <definedName name="qtd_anos">Planilha1!$F$22</definedName>
    <definedName name="rendimento_carteira">Planilha1!$F$16</definedName>
    <definedName name="salario">Planilha1!$F$15</definedName>
    <definedName name="sugestao_investimento">Planilha1!$F$17</definedName>
    <definedName name="taxa_mensal">Planilha1!$F$23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I17" i="1"/>
  <c r="A8" i="2"/>
  <c r="A9" i="2"/>
  <c r="A10" i="2"/>
  <c r="A11" i="2"/>
  <c r="A12" i="2"/>
  <c r="A13" i="2"/>
  <c r="A14" i="2"/>
  <c r="A15" i="2"/>
  <c r="A16" i="2"/>
  <c r="A17" i="2"/>
  <c r="A18" i="2"/>
  <c r="A19" i="2"/>
  <c r="A2" i="2"/>
  <c r="A3" i="2"/>
  <c r="A4" i="2"/>
  <c r="A5" i="2"/>
  <c r="A6" i="2"/>
  <c r="A7" i="2"/>
  <c r="I14" i="1"/>
  <c r="F17" i="1"/>
  <c r="F24" i="1"/>
  <c r="F25" i="1" s="1"/>
  <c r="E30" i="1"/>
  <c r="F30" i="1" s="1"/>
  <c r="E31" i="1"/>
  <c r="F31" i="1" s="1"/>
  <c r="E32" i="1"/>
  <c r="F32" i="1" s="1"/>
  <c r="E33" i="1"/>
  <c r="F33" i="1" s="1"/>
  <c r="E29" i="1"/>
  <c r="F29" i="1" s="1"/>
  <c r="J17" i="1" l="1"/>
  <c r="I22" i="1"/>
  <c r="J22" i="1" s="1"/>
  <c r="I21" i="1"/>
  <c r="J21" i="1" s="1"/>
  <c r="I20" i="1"/>
  <c r="J20" i="1" s="1"/>
  <c r="I19" i="1"/>
  <c r="J19" i="1" s="1"/>
  <c r="I18" i="1"/>
  <c r="J18" i="1" s="1"/>
  <c r="J23" i="1" l="1"/>
</calcChain>
</file>

<file path=xl/sharedStrings.xml><?xml version="1.0" encoding="utf-8"?>
<sst xmlns="http://schemas.openxmlformats.org/spreadsheetml/2006/main" count="71" uniqueCount="34">
  <si>
    <t>INVESTIMENTO MENSAL</t>
  </si>
  <si>
    <t>Quanto investir por mes?</t>
  </si>
  <si>
    <t>Por quantos anos?</t>
  </si>
  <si>
    <t>Taxa de rendimento mensal?</t>
  </si>
  <si>
    <t>Divedendos mensais?</t>
  </si>
  <si>
    <t>Quanto em 2 Anos?</t>
  </si>
  <si>
    <t>Quanto em 5 Anos?</t>
  </si>
  <si>
    <t>Quanto em 10 Anos?</t>
  </si>
  <si>
    <t>Quanto em 20 Anos?</t>
  </si>
  <si>
    <t>Cenários</t>
  </si>
  <si>
    <t>Quanto em 30 Anos?</t>
  </si>
  <si>
    <t>Dividendo</t>
  </si>
  <si>
    <t>CONFIGURAÇÕES</t>
  </si>
  <si>
    <t>Rendimento Carteira</t>
  </si>
  <si>
    <t>Salário</t>
  </si>
  <si>
    <t>Sugestão de Investimento</t>
  </si>
  <si>
    <t>Patrimônio acumulado?</t>
  </si>
  <si>
    <t>Agressivo</t>
  </si>
  <si>
    <t>Moderado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</si>
  <si>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</si>
  <si>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</si>
  <si>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</si>
  <si>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</si>
  <si>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</si>
  <si>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</si>
  <si>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</si>
  <si>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</si>
  <si>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</si>
  <si>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</si>
  <si>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</si>
  <si>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Conservador</t>
  </si>
  <si>
    <t>%</t>
  </si>
  <si>
    <t>CHAVE</t>
  </si>
  <si>
    <t>Moderado-TIJOLO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</si>
</sst>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Segoe UI Light"/>
      <family val="2"/>
    </font>
    <font>
      <b/>
      <sz val="20"/>
      <color theme="0"/>
      <name val="Segoe UI Light"/>
      <family val="2"/>
    </font>
    <font>
      <sz val="12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 Light"/>
      <family val="2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medium">
        <color theme="2"/>
      </right>
      <top/>
      <bottom style="medium">
        <color theme="2"/>
      </bottom>
      <diagonal/>
    </border>
    <border>
      <left style="medium">
        <color theme="2"/>
      </left>
      <right style="medium">
        <color theme="2"/>
      </right>
      <top/>
      <bottom style="medium">
        <color theme="2"/>
      </bottom>
      <diagonal/>
    </border>
    <border>
      <left style="medium">
        <color theme="2"/>
      </left>
      <right style="medium">
        <color auto="1"/>
      </right>
      <top/>
      <bottom style="medium">
        <color theme="2"/>
      </bottom>
      <diagonal/>
    </border>
    <border>
      <left style="medium">
        <color auto="1"/>
      </left>
      <right style="medium">
        <color theme="2"/>
      </right>
      <top style="medium">
        <color theme="2"/>
      </top>
      <bottom style="medium">
        <color theme="2"/>
      </bottom>
      <diagonal/>
    </border>
    <border>
      <left style="medium">
        <color theme="2"/>
      </left>
      <right style="medium">
        <color theme="2"/>
      </right>
      <top style="medium">
        <color theme="2"/>
      </top>
      <bottom style="medium">
        <color theme="2"/>
      </bottom>
      <diagonal/>
    </border>
    <border>
      <left style="medium">
        <color theme="2"/>
      </left>
      <right style="medium">
        <color auto="1"/>
      </right>
      <top style="medium">
        <color theme="2"/>
      </top>
      <bottom style="medium">
        <color theme="2"/>
      </bottom>
      <diagonal/>
    </border>
    <border>
      <left style="medium">
        <color auto="1"/>
      </left>
      <right style="medium">
        <color theme="2"/>
      </right>
      <top style="medium">
        <color theme="2"/>
      </top>
      <bottom style="medium">
        <color auto="1"/>
      </bottom>
      <diagonal/>
    </border>
    <border>
      <left style="medium">
        <color theme="2"/>
      </left>
      <right style="medium">
        <color theme="2"/>
      </right>
      <top style="medium">
        <color theme="2"/>
      </top>
      <bottom style="medium">
        <color auto="1"/>
      </bottom>
      <diagonal/>
    </border>
    <border>
      <left style="medium">
        <color theme="2"/>
      </left>
      <right style="medium">
        <color auto="1"/>
      </right>
      <top style="medium">
        <color theme="2"/>
      </top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theme="0" tint="-4.9989318521683403E-2"/>
      </bottom>
      <diagonal/>
    </border>
    <border>
      <left/>
      <right style="medium">
        <color theme="2"/>
      </right>
      <top/>
      <bottom style="medium">
        <color theme="0" tint="-4.9989318521683403E-2"/>
      </bottom>
      <diagonal/>
    </border>
    <border>
      <left style="medium">
        <color indexed="64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indexed="64"/>
      </left>
      <right/>
      <top style="medium">
        <color theme="0" tint="-4.9989318521683403E-2"/>
      </top>
      <bottom style="medium">
        <color indexed="64"/>
      </bottom>
      <diagonal/>
    </border>
    <border>
      <left/>
      <right style="medium">
        <color theme="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0.14996795556505021"/>
      </left>
      <right style="medium">
        <color auto="1"/>
      </right>
      <top style="medium">
        <color theme="2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auto="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auto="1"/>
      </right>
      <top style="medium">
        <color theme="0" tint="-0.14996795556505021"/>
      </top>
      <bottom style="medium">
        <color auto="1"/>
      </bottom>
      <diagonal/>
    </border>
    <border>
      <left/>
      <right style="medium">
        <color theme="0" tint="-0.14996795556505021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left" indent="2"/>
    </xf>
    <xf numFmtId="164" fontId="8" fillId="0" borderId="6" xfId="1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0" fontId="8" fillId="0" borderId="9" xfId="2" applyNumberFormat="1" applyFont="1" applyBorder="1" applyAlignment="1">
      <alignment horizontal="center"/>
    </xf>
    <xf numFmtId="8" fontId="8" fillId="3" borderId="9" xfId="0" applyNumberFormat="1" applyFont="1" applyFill="1" applyBorder="1" applyAlignment="1">
      <alignment horizontal="center"/>
    </xf>
    <xf numFmtId="8" fontId="8" fillId="3" borderId="12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left" indent="2"/>
    </xf>
    <xf numFmtId="8" fontId="10" fillId="3" borderId="5" xfId="0" applyNumberFormat="1" applyFont="1" applyFill="1" applyBorder="1" applyAlignment="1">
      <alignment horizontal="right"/>
    </xf>
    <xf numFmtId="8" fontId="10" fillId="3" borderId="6" xfId="0" applyNumberFormat="1" applyFont="1" applyFill="1" applyBorder="1"/>
    <xf numFmtId="0" fontId="7" fillId="3" borderId="7" xfId="0" applyFont="1" applyFill="1" applyBorder="1" applyAlignment="1">
      <alignment horizontal="left" indent="2"/>
    </xf>
    <xf numFmtId="8" fontId="10" fillId="3" borderId="8" xfId="0" applyNumberFormat="1" applyFont="1" applyFill="1" applyBorder="1" applyAlignment="1">
      <alignment horizontal="right"/>
    </xf>
    <xf numFmtId="8" fontId="10" fillId="3" borderId="9" xfId="0" applyNumberFormat="1" applyFont="1" applyFill="1" applyBorder="1"/>
    <xf numFmtId="0" fontId="7" fillId="3" borderId="10" xfId="0" applyFont="1" applyFill="1" applyBorder="1" applyAlignment="1">
      <alignment horizontal="left" indent="2"/>
    </xf>
    <xf numFmtId="8" fontId="10" fillId="3" borderId="11" xfId="0" applyNumberFormat="1" applyFont="1" applyFill="1" applyBorder="1" applyAlignment="1">
      <alignment horizontal="right"/>
    </xf>
    <xf numFmtId="8" fontId="10" fillId="3" borderId="12" xfId="0" applyNumberFormat="1" applyFont="1" applyFill="1" applyBorder="1"/>
    <xf numFmtId="164" fontId="8" fillId="4" borderId="24" xfId="0" applyNumberFormat="1" applyFont="1" applyFill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164" fontId="8" fillId="4" borderId="26" xfId="0" applyNumberFormat="1" applyFont="1" applyFill="1" applyBorder="1" applyAlignment="1">
      <alignment horizontal="center"/>
    </xf>
    <xf numFmtId="0" fontId="2" fillId="2" borderId="0" xfId="3" applyBorder="1" applyAlignment="1">
      <alignment horizontal="left" indent="2"/>
    </xf>
    <xf numFmtId="0" fontId="2" fillId="2" borderId="0" xfId="3" applyBorder="1" applyAlignment="1">
      <alignment horizontal="center"/>
    </xf>
    <xf numFmtId="0" fontId="2" fillId="2" borderId="0" xfId="3" applyBorder="1" applyAlignment="1">
      <alignment horizontal="left"/>
    </xf>
    <xf numFmtId="9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/>
    <xf numFmtId="0" fontId="0" fillId="6" borderId="0" xfId="0" applyFill="1"/>
    <xf numFmtId="164" fontId="3" fillId="5" borderId="0" xfId="0" applyNumberFormat="1" applyFont="1" applyFill="1" applyAlignment="1">
      <alignment horizontal="center"/>
    </xf>
    <xf numFmtId="164" fontId="3" fillId="6" borderId="0" xfId="1" applyNumberFormat="1" applyFont="1" applyFill="1" applyAlignment="1">
      <alignment horizontal="center"/>
    </xf>
    <xf numFmtId="164" fontId="0" fillId="6" borderId="0" xfId="0" applyNumberFormat="1" applyFill="1"/>
    <xf numFmtId="0" fontId="0" fillId="0" borderId="17" xfId="0" applyBorder="1"/>
    <xf numFmtId="0" fontId="0" fillId="0" borderId="17" xfId="0" applyBorder="1" applyAlignment="1">
      <alignment horizontal="center"/>
    </xf>
    <xf numFmtId="9" fontId="0" fillId="0" borderId="17" xfId="0" applyNumberFormat="1" applyBorder="1" applyAlignment="1">
      <alignment horizontal="center"/>
    </xf>
    <xf numFmtId="0" fontId="2" fillId="2" borderId="0" xfId="3"/>
    <xf numFmtId="9" fontId="2" fillId="2" borderId="0" xfId="2" applyFont="1" applyFill="1"/>
    <xf numFmtId="0" fontId="11" fillId="7" borderId="28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13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left" indent="2"/>
    </xf>
    <xf numFmtId="0" fontId="7" fillId="3" borderId="21" xfId="0" applyFont="1" applyFill="1" applyBorder="1" applyAlignment="1">
      <alignment horizontal="left" indent="2"/>
    </xf>
    <xf numFmtId="0" fontId="7" fillId="3" borderId="22" xfId="0" applyFont="1" applyFill="1" applyBorder="1" applyAlignment="1">
      <alignment horizontal="left" indent="2"/>
    </xf>
    <xf numFmtId="0" fontId="7" fillId="3" borderId="27" xfId="0" applyFont="1" applyFill="1" applyBorder="1" applyAlignment="1">
      <alignment horizontal="left" indent="2"/>
    </xf>
    <xf numFmtId="0" fontId="7" fillId="0" borderId="20" xfId="0" applyFont="1" applyBorder="1" applyAlignment="1">
      <alignment horizontal="left" indent="2"/>
    </xf>
    <xf numFmtId="0" fontId="7" fillId="0" borderId="21" xfId="0" applyFont="1" applyBorder="1" applyAlignment="1">
      <alignment horizontal="left" indent="2"/>
    </xf>
    <xf numFmtId="0" fontId="6" fillId="7" borderId="1" xfId="0" applyFont="1" applyFill="1" applyBorder="1" applyAlignment="1">
      <alignment horizontal="center" vertical="top"/>
    </xf>
    <xf numFmtId="0" fontId="6" fillId="7" borderId="16" xfId="0" applyFont="1" applyFill="1" applyBorder="1" applyAlignment="1">
      <alignment horizontal="center" vertical="top"/>
    </xf>
    <xf numFmtId="0" fontId="6" fillId="7" borderId="14" xfId="0" applyFont="1" applyFill="1" applyBorder="1" applyAlignment="1">
      <alignment horizontal="center" vertical="top"/>
    </xf>
    <xf numFmtId="0" fontId="6" fillId="7" borderId="17" xfId="0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indent="2"/>
    </xf>
    <xf numFmtId="0" fontId="7" fillId="0" borderId="19" xfId="0" applyFont="1" applyBorder="1" applyAlignment="1">
      <alignment horizontal="left" indent="2"/>
    </xf>
    <xf numFmtId="0" fontId="9" fillId="3" borderId="20" xfId="0" applyFont="1" applyFill="1" applyBorder="1" applyAlignment="1">
      <alignment horizontal="left" indent="2"/>
    </xf>
    <xf numFmtId="0" fontId="9" fillId="3" borderId="21" xfId="0" applyFont="1" applyFill="1" applyBorder="1" applyAlignment="1">
      <alignment horizontal="left" indent="2"/>
    </xf>
    <xf numFmtId="0" fontId="9" fillId="3" borderId="22" xfId="0" applyFont="1" applyFill="1" applyBorder="1" applyAlignment="1">
      <alignment horizontal="left" indent="2"/>
    </xf>
    <xf numFmtId="0" fontId="9" fillId="3" borderId="23" xfId="0" applyFont="1" applyFill="1" applyBorder="1" applyAlignment="1">
      <alignment horizontal="left" indent="2"/>
    </xf>
    <xf numFmtId="0" fontId="6" fillId="7" borderId="2" xfId="0" applyFont="1" applyFill="1" applyBorder="1" applyAlignment="1">
      <alignment horizontal="center" vertical="top"/>
    </xf>
    <xf numFmtId="0" fontId="6" fillId="7" borderId="15" xfId="0" applyFont="1" applyFill="1" applyBorder="1" applyAlignment="1">
      <alignment horizontal="center" vertical="top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0292666124587639E-3"/>
          <c:y val="7.2072477301951265E-2"/>
          <c:w val="0.74898324919817505"/>
          <c:h val="0.89688118787677296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C248-40A9-86AF-43FED9A1EB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C248-40A9-86AF-43FED9A1EB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C248-40A9-86AF-43FED9A1EB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C248-40A9-86AF-43FED9A1EB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C248-40A9-86AF-43FED9A1EB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C248-40A9-86AF-43FED9A1EB3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Planilha1!$H$17:$H$22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Planilha1!$I$17:$I$22</c:f>
              <c:numCache>
                <c:formatCode>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B-42E7-AB23-F70D41046678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C248-40A9-86AF-43FED9A1EB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C248-40A9-86AF-43FED9A1EB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C248-40A9-86AF-43FED9A1EB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C248-40A9-86AF-43FED9A1EB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C248-40A9-86AF-43FED9A1EB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C248-40A9-86AF-43FED9A1EB3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Planilha1!$H$17:$H$22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Planilha1!$J$17:$J$22</c:f>
              <c:numCache>
                <c:formatCode>"R$"\ #,##0.00</c:formatCode>
                <c:ptCount val="6"/>
                <c:pt idx="0">
                  <c:v>100</c:v>
                </c:pt>
                <c:pt idx="1">
                  <c:v>20</c:v>
                </c:pt>
                <c:pt idx="2">
                  <c:v>10</c:v>
                </c:pt>
                <c:pt idx="3">
                  <c:v>10</c:v>
                </c:pt>
                <c:pt idx="4">
                  <c:v>40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B-42E7-AB23-F70D4104667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13894864932018"/>
          <c:y val="0.18871037925420348"/>
          <c:w val="0.21738233663549247"/>
          <c:h val="0.5696774980900238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324331</xdr:colOff>
      <xdr:row>23</xdr:row>
      <xdr:rowOff>231912</xdr:rowOff>
    </xdr:from>
    <xdr:to>
      <xdr:col>10</xdr:col>
      <xdr:colOff>132522</xdr:colOff>
      <xdr:row>33</xdr:row>
      <xdr:rowOff>82825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03A626-62BE-2375-B8B5-E3453E280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22</xdr:row>
      <xdr:rowOff>207065</xdr:rowOff>
    </xdr:from>
    <xdr:to>
      <xdr:col>3</xdr:col>
      <xdr:colOff>0</xdr:colOff>
      <xdr:row>25</xdr:row>
      <xdr:rowOff>31047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02FF674-7707-6FEF-DC3B-DAE6ACE6A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7520609" y="4025348"/>
          <a:ext cx="0" cy="519720"/>
        </a:xfrm>
        <a:prstGeom prst="rect">
          <a:avLst/>
        </a:prstGeom>
      </xdr:spPr>
    </xdr:pic>
    <xdr:clientData/>
  </xdr:twoCellAnchor>
  <xdr:twoCellAnchor editAs="oneCell">
    <xdr:from>
      <xdr:col>3</xdr:col>
      <xdr:colOff>673890</xdr:colOff>
      <xdr:row>0</xdr:row>
      <xdr:rowOff>146334</xdr:rowOff>
    </xdr:from>
    <xdr:to>
      <xdr:col>9</xdr:col>
      <xdr:colOff>690488</xdr:colOff>
      <xdr:row>9</xdr:row>
      <xdr:rowOff>121659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710DFCDF-011D-D557-49B8-1FBE2E0BF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2673" y="146334"/>
          <a:ext cx="9004470" cy="1747803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DF518-89C7-485B-AFE5-88E30DC3B137}">
  <dimension ref="A1:XFD63"/>
  <sheetViews>
    <sheetView showGridLines="0" tabSelected="1" topLeftCell="B1" zoomScaleNormal="100" zoomScaleSheetLayoutView="85" workbookViewId="0">
      <selection activeCell="J34" sqref="J3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zeroHeight="1" x14ac:dyDescent="0.25"/>
  <cols>
    <col min="1" max="1" width="13.7109375" hidden="1" customWidth="1"/>
    <col min="2" max="2" width="3" customWidth="1"/>
    <col min="4" max="4" width="37.28515625" customWidth="1"/>
    <col min="5" max="5" width="19.42578125" bestFit="1" customWidth="1"/>
    <col min="6" max="6" width="15.7109375" customWidth="1"/>
    <col min="7" max="7" width="6.140625" customWidth="1"/>
    <col min="8" max="8" width="31" customWidth="1"/>
    <col min="9" max="9" width="25.28515625" customWidth="1"/>
    <col min="10" max="10" width="19.42578125" bestFit="1" customWidth="1"/>
    <col min="11" max="11" width="4" customWidth="1"/>
    <col min="12" max="12" width="43" hidden="1" customWidth="1"/>
    <col min="13" max="13" width="2.42578125" hidden="1" customWidth="1"/>
    <col min="14" max="16369" width="9.140625" hidden="1" customWidth="1"/>
    <col min="16370" max="16370" width="12.85546875" hidden="1" customWidth="1"/>
    <col min="16371" max="16371" width="10" hidden="1" customWidth="1"/>
    <col min="16372" max="16372" width="8.85546875" hidden="1" customWidth="1"/>
    <col min="16373" max="16373" width="48" hidden="1" customWidth="1"/>
    <col min="16374" max="16374" width="58.28515625" hidden="1" customWidth="1"/>
    <col min="16375" max="16375" width="74.85546875" hidden="1" customWidth="1"/>
    <col min="16376" max="16376" width="68.140625" hidden="1" customWidth="1"/>
    <col min="16377" max="16377" width="56.28515625" hidden="1" customWidth="1"/>
    <col min="16378" max="16378" width="35.5703125" hidden="1" customWidth="1"/>
    <col min="16379" max="16379" width="15.140625" hidden="1" customWidth="1"/>
    <col min="16380" max="16380" width="13.5703125" hidden="1" customWidth="1"/>
    <col min="16381" max="16381" width="24.140625" hidden="1" customWidth="1"/>
    <col min="16382" max="16382" width="19.140625" hidden="1" customWidth="1"/>
    <col min="16383" max="16383" width="8.7109375" hidden="1" customWidth="1"/>
    <col min="16384" max="16384" width="94.42578125" hidden="1" customWidth="1"/>
  </cols>
  <sheetData>
    <row r="1" spans="4:10" customFormat="1" x14ac:dyDescent="0.25"/>
    <row r="2" spans="4:10" customFormat="1" x14ac:dyDescent="0.25"/>
    <row r="3" spans="4:10" customFormat="1" x14ac:dyDescent="0.25"/>
    <row r="4" spans="4:10" customFormat="1" x14ac:dyDescent="0.25"/>
    <row r="5" spans="4:10" customFormat="1" ht="19.5" customHeight="1" x14ac:dyDescent="0.25"/>
    <row r="6" spans="4:10" customFormat="1" x14ac:dyDescent="0.25"/>
    <row r="7" spans="4:10" customFormat="1" x14ac:dyDescent="0.25"/>
    <row r="8" spans="4:10" customFormat="1" x14ac:dyDescent="0.25"/>
    <row r="9" spans="4:10" customFormat="1" x14ac:dyDescent="0.25"/>
    <row r="10" spans="4:10" customFormat="1" x14ac:dyDescent="0.25"/>
    <row r="11" spans="4:10" customFormat="1" x14ac:dyDescent="0.25"/>
    <row r="12" spans="4:10" customFormat="1" ht="0.75" customHeight="1" thickBot="1" x14ac:dyDescent="0.3"/>
    <row r="13" spans="4:10" customFormat="1" ht="15.75" customHeight="1" x14ac:dyDescent="0.25">
      <c r="D13" s="39" t="s">
        <v>12</v>
      </c>
      <c r="E13" s="40"/>
      <c r="F13" s="41"/>
      <c r="H13" s="24" t="s">
        <v>20</v>
      </c>
      <c r="I13" s="23" t="s">
        <v>17</v>
      </c>
      <c r="J13" s="22"/>
    </row>
    <row r="14" spans="4:10" customFormat="1" ht="15.75" customHeight="1" thickBot="1" x14ac:dyDescent="0.3">
      <c r="D14" s="42"/>
      <c r="E14" s="43"/>
      <c r="F14" s="44"/>
      <c r="H14" s="27" t="s">
        <v>19</v>
      </c>
      <c r="I14" s="30">
        <f>aporte</f>
        <v>200</v>
      </c>
      <c r="J14" s="28"/>
    </row>
    <row r="15" spans="4:10" customFormat="1" ht="18" thickBot="1" x14ac:dyDescent="0.35">
      <c r="D15" s="45" t="s">
        <v>14</v>
      </c>
      <c r="E15" s="46"/>
      <c r="F15" s="19">
        <v>2000</v>
      </c>
    </row>
    <row r="16" spans="4:10" customFormat="1" ht="18" thickBot="1" x14ac:dyDescent="0.35">
      <c r="D16" s="45" t="s">
        <v>13</v>
      </c>
      <c r="E16" s="46"/>
      <c r="F16" s="20">
        <v>6.0000000000000001E-3</v>
      </c>
      <c r="H16" s="26" t="s">
        <v>21</v>
      </c>
      <c r="I16" s="26" t="s">
        <v>22</v>
      </c>
      <c r="J16" s="26" t="s">
        <v>23</v>
      </c>
    </row>
    <row r="17" spans="4:10" customFormat="1" ht="18" thickBot="1" x14ac:dyDescent="0.35">
      <c r="D17" s="47" t="s">
        <v>15</v>
      </c>
      <c r="E17" s="48"/>
      <c r="F17" s="21">
        <f>salario*30%</f>
        <v>600</v>
      </c>
      <c r="H17" s="1" t="s">
        <v>24</v>
      </c>
      <c r="I17" s="25">
        <f>VLOOKUP($I$13&amp;"-"&amp;H17,Apoio!$A:$D,4,FALSE)</f>
        <v>0.5</v>
      </c>
      <c r="J17" s="31">
        <f>I17*I$14</f>
        <v>100</v>
      </c>
    </row>
    <row r="18" spans="4:10" customFormat="1" ht="15.75" thickBot="1" x14ac:dyDescent="0.3">
      <c r="E18" s="3"/>
      <c r="H18" s="1" t="s">
        <v>25</v>
      </c>
      <c r="I18" s="25">
        <f>VLOOKUP($I$13&amp;"-"&amp;H18,Apoio!$A:$D,4,FALSE)</f>
        <v>0.1</v>
      </c>
      <c r="J18" s="31">
        <f>I18*I$14</f>
        <v>20</v>
      </c>
    </row>
    <row r="19" spans="4:10" customFormat="1" ht="15" customHeight="1" x14ac:dyDescent="0.25">
      <c r="D19" s="51" t="s">
        <v>0</v>
      </c>
      <c r="E19" s="52"/>
      <c r="F19" s="61"/>
      <c r="H19" s="1" t="s">
        <v>26</v>
      </c>
      <c r="I19" s="25">
        <f>VLOOKUP($I$13&amp;"-"&amp;H19,Apoio!$A:$D,4,FALSE)</f>
        <v>0.05</v>
      </c>
      <c r="J19" s="31">
        <f>I19*I$14</f>
        <v>10</v>
      </c>
    </row>
    <row r="20" spans="4:10" customFormat="1" ht="15" customHeight="1" thickBot="1" x14ac:dyDescent="0.3">
      <c r="D20" s="53"/>
      <c r="E20" s="54"/>
      <c r="F20" s="62"/>
      <c r="H20" s="1" t="s">
        <v>27</v>
      </c>
      <c r="I20" s="25">
        <f>VLOOKUP($I$13&amp;"-"&amp;H20,Apoio!$A:$D,4,FALSE)</f>
        <v>0.05</v>
      </c>
      <c r="J20" s="31">
        <f>I20*I$14</f>
        <v>10</v>
      </c>
    </row>
    <row r="21" spans="4:10" customFormat="1" ht="15" customHeight="1" thickBot="1" x14ac:dyDescent="0.35">
      <c r="D21" s="55" t="s">
        <v>1</v>
      </c>
      <c r="E21" s="56"/>
      <c r="F21" s="5">
        <v>200</v>
      </c>
      <c r="H21" s="1" t="s">
        <v>28</v>
      </c>
      <c r="I21" s="25">
        <f>VLOOKUP($I$13&amp;"-"&amp;H21,Apoio!$A:$D,4,FALSE)</f>
        <v>0.2</v>
      </c>
      <c r="J21" s="31">
        <f>I21*I$14</f>
        <v>40</v>
      </c>
    </row>
    <row r="22" spans="4:10" customFormat="1" ht="18" thickBot="1" x14ac:dyDescent="0.35">
      <c r="D22" s="49" t="s">
        <v>2</v>
      </c>
      <c r="E22" s="50"/>
      <c r="F22" s="6">
        <v>5</v>
      </c>
      <c r="H22" s="1" t="s">
        <v>29</v>
      </c>
      <c r="I22" s="25">
        <f>VLOOKUP($I$13&amp;"-"&amp;H22,Apoio!$A:$D,4,FALSE)</f>
        <v>0.1</v>
      </c>
      <c r="J22" s="31">
        <f>I22*I$14</f>
        <v>20</v>
      </c>
    </row>
    <row r="23" spans="4:10" customFormat="1" ht="18" thickBot="1" x14ac:dyDescent="0.35">
      <c r="D23" s="49" t="s">
        <v>3</v>
      </c>
      <c r="E23" s="50"/>
      <c r="F23" s="7">
        <v>1.0789999999999999E-2</v>
      </c>
      <c r="H23" s="26"/>
      <c r="I23" s="26"/>
      <c r="J23" s="29">
        <f>SUM(J17:J22)</f>
        <v>200</v>
      </c>
    </row>
    <row r="24" spans="4:10" customFormat="1" ht="18" thickBot="1" x14ac:dyDescent="0.35">
      <c r="D24" s="57" t="s">
        <v>16</v>
      </c>
      <c r="E24" s="58"/>
      <c r="F24" s="8">
        <f>FV(taxa_mensal,qtd_anos*12,aporte*-1)</f>
        <v>16755.382799697527</v>
      </c>
    </row>
    <row r="25" spans="4:10" customFormat="1" ht="18" thickBot="1" x14ac:dyDescent="0.35">
      <c r="D25" s="59" t="s">
        <v>4</v>
      </c>
      <c r="E25" s="60"/>
      <c r="F25" s="9">
        <f>patrimonio*rendimento_carteira</f>
        <v>100.53229679818516</v>
      </c>
    </row>
    <row r="26" spans="4:10" customFormat="1" ht="15.75" thickBot="1" x14ac:dyDescent="0.3">
      <c r="D26" s="4"/>
      <c r="E26" s="4"/>
    </row>
    <row r="27" spans="4:10" customFormat="1" ht="15" customHeight="1" x14ac:dyDescent="0.25">
      <c r="D27" s="51" t="s">
        <v>9</v>
      </c>
      <c r="E27" s="61"/>
      <c r="F27" s="37" t="s">
        <v>11</v>
      </c>
    </row>
    <row r="28" spans="4:10" customFormat="1" ht="15" customHeight="1" thickBot="1" x14ac:dyDescent="0.3">
      <c r="D28" s="53"/>
      <c r="E28" s="62"/>
      <c r="F28" s="38"/>
    </row>
    <row r="29" spans="4:10" customFormat="1" ht="18" thickBot="1" x14ac:dyDescent="0.35">
      <c r="D29" s="10" t="s">
        <v>5</v>
      </c>
      <c r="E29" s="11">
        <f>FV($F$23,$G29*12,$F$21*-1)</f>
        <v>5445.5254595290435</v>
      </c>
      <c r="F29" s="12">
        <f>E29*rendimento_carteira</f>
        <v>32.673152757174265</v>
      </c>
      <c r="G29" s="2">
        <v>2</v>
      </c>
    </row>
    <row r="30" spans="4:10" customFormat="1" ht="18" thickBot="1" x14ac:dyDescent="0.35">
      <c r="D30" s="13" t="s">
        <v>6</v>
      </c>
      <c r="E30" s="14">
        <f>FV($F$23,$G30*12,$F$21*-1)</f>
        <v>16755.382799697527</v>
      </c>
      <c r="F30" s="15">
        <f>E30*rendimento_carteira</f>
        <v>100.53229679818516</v>
      </c>
      <c r="G30" s="2">
        <v>5</v>
      </c>
    </row>
    <row r="31" spans="4:10" customFormat="1" ht="18" thickBot="1" x14ac:dyDescent="0.35">
      <c r="D31" s="13" t="s">
        <v>7</v>
      </c>
      <c r="E31" s="14">
        <f>FV($F$23,$G31*12,$F$21*-1)</f>
        <v>48656.842506034438</v>
      </c>
      <c r="F31" s="15">
        <f>E31*rendimento_carteira</f>
        <v>291.94105503620665</v>
      </c>
      <c r="G31" s="2">
        <v>10</v>
      </c>
    </row>
    <row r="32" spans="4:10" customFormat="1" ht="18" thickBot="1" x14ac:dyDescent="0.35">
      <c r="D32" s="13" t="s">
        <v>8</v>
      </c>
      <c r="E32" s="14">
        <f>FV($F$23,$G32*12,$F$21*-1)</f>
        <v>225039.68001941612</v>
      </c>
      <c r="F32" s="15">
        <f>E32*rendimento_carteira</f>
        <v>1350.2380801164968</v>
      </c>
      <c r="G32" s="2">
        <v>20</v>
      </c>
    </row>
    <row r="33" spans="4:7" customFormat="1" ht="18" thickBot="1" x14ac:dyDescent="0.35">
      <c r="D33" s="16" t="s">
        <v>10</v>
      </c>
      <c r="E33" s="17">
        <f>FV($F$23,$G33*12,$F$21*-1)</f>
        <v>864433.93100094295</v>
      </c>
      <c r="F33" s="18">
        <f>E33*rendimento_carteira</f>
        <v>5186.6035860056581</v>
      </c>
      <c r="G33" s="2">
        <v>30</v>
      </c>
    </row>
    <row r="34" spans="4:7" customFormat="1" x14ac:dyDescent="0.25"/>
    <row r="35" spans="4:7" customFormat="1" hidden="1" x14ac:dyDescent="0.25"/>
    <row r="36" spans="4:7" customFormat="1" hidden="1" x14ac:dyDescent="0.25"/>
    <row r="37" spans="4:7" customFormat="1" hidden="1" x14ac:dyDescent="0.25"/>
    <row r="38" spans="4:7" customFormat="1" hidden="1" x14ac:dyDescent="0.25"/>
    <row r="39" spans="4:7" customFormat="1" hidden="1" x14ac:dyDescent="0.25"/>
    <row r="40" spans="4:7" customFormat="1" hidden="1" x14ac:dyDescent="0.25"/>
    <row r="41" spans="4:7" customFormat="1" hidden="1" x14ac:dyDescent="0.25"/>
    <row r="42" spans="4:7" customFormat="1" hidden="1" x14ac:dyDescent="0.25"/>
    <row r="43" spans="4:7" customFormat="1" hidden="1" x14ac:dyDescent="0.25"/>
    <row r="44" spans="4:7" customFormat="1" hidden="1" x14ac:dyDescent="0.25"/>
    <row r="45" spans="4:7" customFormat="1" hidden="1" x14ac:dyDescent="0.25"/>
    <row r="46" spans="4:7" customFormat="1" hidden="1" x14ac:dyDescent="0.25"/>
    <row r="47" spans="4:7" customFormat="1" hidden="1" x14ac:dyDescent="0.25"/>
    <row r="48" spans="4:7" customFormat="1" hidden="1" x14ac:dyDescent="0.25"/>
    <row r="49" customFormat="1" hidden="1" x14ac:dyDescent="0.25"/>
    <row r="50" customFormat="1" hidden="1" x14ac:dyDescent="0.25"/>
    <row r="51" customFormat="1" hidden="1" x14ac:dyDescent="0.25"/>
    <row r="52" customFormat="1" hidden="1" x14ac:dyDescent="0.25"/>
    <row r="53" customFormat="1" hidden="1" x14ac:dyDescent="0.25"/>
    <row r="54" customFormat="1" hidden="1" x14ac:dyDescent="0.25"/>
    <row r="55" customFormat="1" hidden="1" x14ac:dyDescent="0.25"/>
    <row r="56" customFormat="1" hidden="1" x14ac:dyDescent="0.25"/>
    <row r="57" customFormat="1" hidden="1" x14ac:dyDescent="0.25"/>
    <row r="58" customFormat="1" hidden="1" x14ac:dyDescent="0.25"/>
    <row r="59" customFormat="1" hidden="1" x14ac:dyDescent="0.25"/>
    <row r="60" customFormat="1" hidden="1" x14ac:dyDescent="0.25"/>
    <row r="61" customFormat="1" hidden="1" x14ac:dyDescent="0.25"/>
    <row r="62" customFormat="1" hidden="1" x14ac:dyDescent="0.25"/>
    <row r="63" customFormat="1" hidden="1" x14ac:dyDescent="0.25"/>
  </sheetData>
  <mergeCells count="12">
    <mergeCell ref="F27:F28"/>
    <mergeCell ref="D13:F14"/>
    <mergeCell ref="D15:E15"/>
    <mergeCell ref="D16:E16"/>
    <mergeCell ref="D17:E17"/>
    <mergeCell ref="D22:E22"/>
    <mergeCell ref="D27:E28"/>
    <mergeCell ref="D21:E21"/>
    <mergeCell ref="D23:E23"/>
    <mergeCell ref="D24:E24"/>
    <mergeCell ref="D25:E25"/>
    <mergeCell ref="D19:F20"/>
  </mergeCells>
  <dataValidations disablePrompts="1" count="1">
    <dataValidation type="list" allowBlank="1" showInputMessage="1" showErrorMessage="1" sqref="I13" xr:uid="{550697B6-C3B8-4689-9688-FF244D060A6E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8893A-95B9-4FB7-851F-8BB715B334DB}">
  <dimension ref="A1:H19"/>
  <sheetViews>
    <sheetView zoomScale="190" zoomScaleNormal="190" workbookViewId="0">
      <selection activeCell="G1" sqref="G1:H3"/>
    </sheetView>
  </sheetViews>
  <sheetFormatPr defaultRowHeight="15" x14ac:dyDescent="0.25"/>
  <cols>
    <col min="1" max="1" width="30.85546875" bestFit="1" customWidth="1"/>
    <col min="2" max="2" width="14.42578125" bestFit="1" customWidth="1"/>
    <col min="3" max="3" width="18.5703125" bestFit="1" customWidth="1"/>
    <col min="4" max="4" width="9.140625" style="1"/>
    <col min="7" max="7" width="16.85546875" bestFit="1" customWidth="1"/>
  </cols>
  <sheetData>
    <row r="1" spans="1:8" x14ac:dyDescent="0.25">
      <c r="A1" t="s">
        <v>32</v>
      </c>
      <c r="B1" s="1" t="s">
        <v>20</v>
      </c>
      <c r="C1" s="1" t="s">
        <v>21</v>
      </c>
      <c r="D1" s="1" t="s">
        <v>31</v>
      </c>
      <c r="H1" t="s">
        <v>31</v>
      </c>
    </row>
    <row r="2" spans="1:8" x14ac:dyDescent="0.25">
      <c r="A2" t="str">
        <f>B2&amp;"-"&amp;C2</f>
        <v>Conservador-PAPEL</v>
      </c>
      <c r="B2" t="s">
        <v>30</v>
      </c>
      <c r="C2" s="1" t="s">
        <v>24</v>
      </c>
      <c r="D2" s="25">
        <v>0.3</v>
      </c>
    </row>
    <row r="3" spans="1:8" x14ac:dyDescent="0.25">
      <c r="A3" t="str">
        <f t="shared" ref="A3:A19" si="0">B3&amp;"-"&amp;C3</f>
        <v>Conservador-TIJOLO</v>
      </c>
      <c r="B3" t="s">
        <v>30</v>
      </c>
      <c r="C3" s="1" t="s">
        <v>25</v>
      </c>
      <c r="D3" s="25">
        <v>0.5</v>
      </c>
      <c r="G3" s="35" t="s">
        <v>33</v>
      </c>
      <c r="H3" s="36">
        <f>VLOOKUP(G3,$A:$D,4,FALSE)</f>
        <v>0.35</v>
      </c>
    </row>
    <row r="4" spans="1:8" x14ac:dyDescent="0.25">
      <c r="A4" t="str">
        <f t="shared" si="0"/>
        <v>Conservador-HÍBRIDOS</v>
      </c>
      <c r="B4" t="s">
        <v>30</v>
      </c>
      <c r="C4" s="1" t="s">
        <v>26</v>
      </c>
      <c r="D4" s="25">
        <v>0.1</v>
      </c>
    </row>
    <row r="5" spans="1:8" x14ac:dyDescent="0.25">
      <c r="A5" t="str">
        <f t="shared" si="0"/>
        <v>Conservador-FOFs</v>
      </c>
      <c r="B5" t="s">
        <v>30</v>
      </c>
      <c r="C5" s="1" t="s">
        <v>27</v>
      </c>
      <c r="D5" s="25">
        <v>0.1</v>
      </c>
    </row>
    <row r="6" spans="1:8" x14ac:dyDescent="0.25">
      <c r="A6" t="str">
        <f t="shared" si="0"/>
        <v>Conservador-DESENVOLVIMENTO</v>
      </c>
      <c r="B6" t="s">
        <v>30</v>
      </c>
      <c r="C6" s="1" t="s">
        <v>28</v>
      </c>
      <c r="D6" s="25">
        <v>0</v>
      </c>
    </row>
    <row r="7" spans="1:8" ht="15.75" thickBot="1" x14ac:dyDescent="0.3">
      <c r="A7" s="32" t="str">
        <f t="shared" si="0"/>
        <v>Conservador-HOTELARIAS</v>
      </c>
      <c r="B7" s="32" t="s">
        <v>30</v>
      </c>
      <c r="C7" s="33" t="s">
        <v>29</v>
      </c>
      <c r="D7" s="34">
        <v>0</v>
      </c>
    </row>
    <row r="8" spans="1:8" x14ac:dyDescent="0.25">
      <c r="A8" t="str">
        <f t="shared" si="0"/>
        <v>Moderado-PAPEL</v>
      </c>
      <c r="B8" t="s">
        <v>18</v>
      </c>
      <c r="C8" s="1" t="s">
        <v>24</v>
      </c>
      <c r="D8" s="25">
        <v>0.32</v>
      </c>
    </row>
    <row r="9" spans="1:8" x14ac:dyDescent="0.25">
      <c r="A9" t="str">
        <f t="shared" si="0"/>
        <v>Moderado-TIJOLO</v>
      </c>
      <c r="B9" t="s">
        <v>18</v>
      </c>
      <c r="C9" s="1" t="s">
        <v>25</v>
      </c>
      <c r="D9" s="25">
        <v>0.35</v>
      </c>
    </row>
    <row r="10" spans="1:8" x14ac:dyDescent="0.25">
      <c r="A10" t="str">
        <f t="shared" si="0"/>
        <v>Moderado-HÍBRIDOS</v>
      </c>
      <c r="B10" t="s">
        <v>18</v>
      </c>
      <c r="C10" s="1" t="s">
        <v>26</v>
      </c>
      <c r="D10" s="25">
        <v>0.08</v>
      </c>
    </row>
    <row r="11" spans="1:8" x14ac:dyDescent="0.25">
      <c r="A11" t="str">
        <f t="shared" si="0"/>
        <v>Moderado-FOFs</v>
      </c>
      <c r="B11" t="s">
        <v>18</v>
      </c>
      <c r="C11" s="1" t="s">
        <v>27</v>
      </c>
      <c r="D11" s="25">
        <v>0.05</v>
      </c>
    </row>
    <row r="12" spans="1:8" x14ac:dyDescent="0.25">
      <c r="A12" t="str">
        <f t="shared" si="0"/>
        <v>Moderado-DESENVOLVIMENTO</v>
      </c>
      <c r="B12" t="s">
        <v>18</v>
      </c>
      <c r="C12" s="1" t="s">
        <v>28</v>
      </c>
      <c r="D12" s="25">
        <v>0.1</v>
      </c>
    </row>
    <row r="13" spans="1:8" ht="15.75" thickBot="1" x14ac:dyDescent="0.3">
      <c r="A13" s="32" t="str">
        <f t="shared" si="0"/>
        <v>Moderado-HOTELARIAS</v>
      </c>
      <c r="B13" s="32" t="s">
        <v>18</v>
      </c>
      <c r="C13" s="33" t="s">
        <v>29</v>
      </c>
      <c r="D13" s="34">
        <v>0.1</v>
      </c>
    </row>
    <row r="14" spans="1:8" x14ac:dyDescent="0.25">
      <c r="A14" t="str">
        <f t="shared" si="0"/>
        <v>Agressivo-PAPEL</v>
      </c>
      <c r="B14" t="s">
        <v>17</v>
      </c>
      <c r="C14" s="1" t="s">
        <v>24</v>
      </c>
      <c r="D14" s="25">
        <v>0.5</v>
      </c>
    </row>
    <row r="15" spans="1:8" x14ac:dyDescent="0.25">
      <c r="A15" t="str">
        <f t="shared" si="0"/>
        <v>Agressivo-TIJOLO</v>
      </c>
      <c r="B15" t="s">
        <v>17</v>
      </c>
      <c r="C15" s="1" t="s">
        <v>25</v>
      </c>
      <c r="D15" s="25">
        <v>0.1</v>
      </c>
    </row>
    <row r="16" spans="1:8" x14ac:dyDescent="0.25">
      <c r="A16" t="str">
        <f t="shared" si="0"/>
        <v>Agressivo-HÍBRIDOS</v>
      </c>
      <c r="B16" t="s">
        <v>17</v>
      </c>
      <c r="C16" s="1" t="s">
        <v>26</v>
      </c>
      <c r="D16" s="25">
        <v>0.05</v>
      </c>
    </row>
    <row r="17" spans="1:4" x14ac:dyDescent="0.25">
      <c r="A17" t="str">
        <f t="shared" si="0"/>
        <v>Agressivo-FOFs</v>
      </c>
      <c r="B17" t="s">
        <v>17</v>
      </c>
      <c r="C17" s="1" t="s">
        <v>27</v>
      </c>
      <c r="D17" s="25">
        <v>0.05</v>
      </c>
    </row>
    <row r="18" spans="1:4" x14ac:dyDescent="0.25">
      <c r="A18" t="str">
        <f t="shared" si="0"/>
        <v>Agressivo-DESENVOLVIMENTO</v>
      </c>
      <c r="B18" t="s">
        <v>17</v>
      </c>
      <c r="C18" s="1" t="s">
        <v>28</v>
      </c>
      <c r="D18" s="25">
        <v>0.2</v>
      </c>
    </row>
    <row r="19" spans="1:4" x14ac:dyDescent="0.25">
      <c r="A19" t="str">
        <f t="shared" si="0"/>
        <v>Agressivo-HOTELARIAS</v>
      </c>
      <c r="B19" t="s">
        <v>17</v>
      </c>
      <c r="C19" s="1" t="s">
        <v>29</v>
      </c>
      <c r="D19" s="25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8</vt:i4>
      </vt:variant>
    </vt:vector>
  </HeadingPairs>
  <TitlesOfParts>
    <vt:vector size="10" baseType="lpstr">
      <vt:lpstr>Planilha1</vt:lpstr>
      <vt:lpstr>Apoio</vt:lpstr>
      <vt:lpstr>aporte</vt:lpstr>
      <vt:lpstr>dividendos_mensais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Gabriel de Oliveira Martins</dc:creator>
  <cp:lastModifiedBy>Bruno Gabriel de Oliveira Martins</cp:lastModifiedBy>
  <dcterms:created xsi:type="dcterms:W3CDTF">2026-01-10T21:36:34Z</dcterms:created>
  <dcterms:modified xsi:type="dcterms:W3CDTF">2026-01-11T18:20:43Z</dcterms:modified>
</cp:coreProperties>
</file>
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a\Desktop\DIO\"/>
    </mc:Choice>
  </mc:AlternateContent>
  <xr:revisionPtr revIDLastSave="0" documentId="13_ncr:1_{6266D840-E8AB-41E8-B8E9-1E5DC0BC415E}" xr6:coauthVersionLast="47" xr6:coauthVersionMax="47" xr10:uidLastSave="{00000000-0000-0000-0000-000000000000}"/>
  <bookViews>
    <workbookView xWindow="-28920" yWindow="-120" windowWidth="29040" windowHeight="15840" tabRatio="0" xr2:uid="{0B800CB4-CF31-4A1F-9A5C-8D058B7A1DB7}"/>
  </bookViews>
  <sheets>
    <sheet name="Planilha1" sheetId="1" r:id="rId1"/>
    <sheet name="Apoio" sheetId="2" r:id="rId2"/>
  </sheets>
  <definedNames>
    <definedName name="aporte">Planilha1!$D$18</definedName>
    <definedName name="dividendos_mensais">Planilha1!$D$22</definedName>
    <definedName name="patrimonio">Planilha1!$D$21</definedName>
    <definedName name="qtd_anos">Planilha1!$D$19</definedName>
    <definedName name="rendimento_carteira">Planilha1!$D$13</definedName>
    <definedName name="salario">Planilha1!$D$12</definedName>
    <definedName name="sugestao_investimento">Planilha1!$D$14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C36" i="1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A3" i="2"/>
  <c r="A4" i="2"/>
  <c r="A5" i="2"/>
  <c r="A6" i="2"/>
  <c r="A7" i="2"/>
  <c r="C33" i="1"/>
  <c r="D14" i="1"/>
  <c r="D21" i="1"/>
  <c r="D22" i="1" s="1"/>
  <c r="C27" i="1"/>
  <c r="D27" i="1" s="1"/>
  <c r="C28" i="1"/>
  <c r="D28" i="1" s="1"/>
  <c r="C29" i="1"/>
  <c r="D29" i="1" s="1"/>
  <c r="C30" i="1"/>
  <c r="D30" i="1" s="1"/>
  <c r="C26" i="1"/>
  <c r="D26" i="1" s="1"/>
  <c r="D36" i="1" l="1"/>
  <c r="C41" i="1"/>
  <c r="D41" i="1" s="1"/>
  <c r="C40" i="1"/>
  <c r="D40" i="1" s="1"/>
  <c r="C39" i="1"/>
  <c r="D39" i="1" s="1"/>
  <c r="C38" i="1"/>
  <c r="D38" i="1" s="1"/>
  <c r="C37" i="1"/>
  <c r="D37" i="1" s="1"/>
  <c r="D42" i="1" l="1"/>
</calcChain>
</file>

<file path=xl/sharedStrings.xml><?xml version="1.0" encoding="utf-8"?>
<sst xmlns="http://schemas.openxmlformats.org/spreadsheetml/2006/main" count="71" uniqueCount="34">
  <si>
    <t>INVESTIMENTO MENSAL</t>
  </si>
  <si>
    <t>Quanto investir por mes?</t>
  </si>
  <si>
    <t>Por quantos anos?</t>
  </si>
  <si>
    <t>Taxa de rendimento mensal?</t>
  </si>
  <si>
    <t>Divedendos mensais?</t>
  </si>
  <si>
    <t>Quanto em 2 Anos?</t>
  </si>
  <si>
    <t>Quanto em 5 Anos?</t>
  </si>
  <si>
    <t>Quanto em 10 Anos?</t>
  </si>
  <si>
    <t>Quanto em 20 Anos?</t>
  </si>
  <si>
    <t>Cenários</t>
  </si>
  <si>
    <t>Quanto em 30 Anos?</t>
  </si>
  <si>
    <t>Dividendo</t>
  </si>
  <si>
    <t>CONFIGURAÇÕES</t>
  </si>
  <si>
    <t>Rendimento Carteira</t>
  </si>
  <si>
    <t>Salário</t>
  </si>
  <si>
    <t>Sugestão de Investimento</t>
  </si>
  <si>
    <t>Patrimônio acumulado?</t>
  </si>
  <si>
    <t>Agressivo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</si>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</sst>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Light"/>
      <family val="2"/>
    </font>
    <font>
      <b/>
      <sz val="20"/>
      <color theme="0"/>
      <name val="Segoe UI Light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auto="1"/>
      </right>
      <top/>
      <bottom style="medium">
        <color theme="2"/>
      </bottom>
      <diagonal/>
    </border>
    <border>
      <left style="medium">
        <color auto="1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auto="1"/>
      </right>
      <top style="medium">
        <color theme="2"/>
      </top>
      <bottom style="medium">
        <color theme="2"/>
      </bottom>
      <diagonal/>
    </border>
    <border>
      <left style="medium">
        <color auto="1"/>
      </left>
      <right style="medium">
        <color theme="2"/>
      </right>
      <top style="medium">
        <color theme="2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auto="1"/>
      </bottom>
      <diagonal/>
    </border>
    <border>
      <left style="medium">
        <color theme="2"/>
      </left>
      <right style="medium">
        <color auto="1"/>
      </right>
      <top style="medium">
        <color theme="2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4.9989318521683403E-2"/>
      </bottom>
      <diagonal/>
    </border>
    <border>
      <left/>
      <right style="medium">
        <color theme="2"/>
      </right>
      <top/>
      <bottom style="medium">
        <color theme="0" tint="-4.9989318521683403E-2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indexed="64"/>
      </bottom>
      <diagonal/>
    </border>
    <border>
      <left/>
      <right style="medium">
        <color theme="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0.14996795556505021"/>
      </left>
      <right style="medium">
        <color auto="1"/>
      </right>
      <top style="medium">
        <color theme="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auto="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auto="1"/>
      </right>
      <top style="medium">
        <color theme="0" tint="-0.14996795556505021"/>
      </top>
      <bottom style="medium">
        <color auto="1"/>
      </bottom>
      <diagonal/>
    </border>
    <border>
      <left/>
      <right style="medium">
        <color theme="0" tint="-0.14996795556505021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0" fillId="0" borderId="0" xfId="0" applyAlignment="1">
      <alignment horizontal="left" indent="2"/>
    </xf>
    <xf numFmtId="164" fontId="8" fillId="0" borderId="6" xfId="1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0" fontId="8" fillId="0" borderId="9" xfId="2" applyNumberFormat="1" applyFont="1" applyBorder="1" applyAlignment="1">
      <alignment horizontal="center"/>
    </xf>
    <xf numFmtId="8" fontId="8" fillId="3" borderId="9" xfId="0" applyNumberFormat="1" applyFont="1" applyFill="1" applyBorder="1" applyAlignment="1">
      <alignment horizontal="center"/>
    </xf>
    <xf numFmtId="8" fontId="8" fillId="3" borderId="12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left" indent="2"/>
    </xf>
    <xf numFmtId="8" fontId="10" fillId="3" borderId="5" xfId="0" applyNumberFormat="1" applyFont="1" applyFill="1" applyBorder="1" applyAlignment="1">
      <alignment horizontal="right"/>
    </xf>
    <xf numFmtId="8" fontId="10" fillId="3" borderId="6" xfId="0" applyNumberFormat="1" applyFont="1" applyFill="1" applyBorder="1"/>
    <xf numFmtId="0" fontId="7" fillId="3" borderId="7" xfId="0" applyFont="1" applyFill="1" applyBorder="1" applyAlignment="1">
      <alignment horizontal="left" indent="2"/>
    </xf>
    <xf numFmtId="8" fontId="10" fillId="3" borderId="8" xfId="0" applyNumberFormat="1" applyFont="1" applyFill="1" applyBorder="1" applyAlignment="1">
      <alignment horizontal="right"/>
    </xf>
    <xf numFmtId="8" fontId="10" fillId="3" borderId="9" xfId="0" applyNumberFormat="1" applyFont="1" applyFill="1" applyBorder="1"/>
    <xf numFmtId="0" fontId="7" fillId="3" borderId="10" xfId="0" applyFont="1" applyFill="1" applyBorder="1" applyAlignment="1">
      <alignment horizontal="left" indent="2"/>
    </xf>
    <xf numFmtId="8" fontId="10" fillId="3" borderId="11" xfId="0" applyNumberFormat="1" applyFont="1" applyFill="1" applyBorder="1" applyAlignment="1">
      <alignment horizontal="right"/>
    </xf>
    <xf numFmtId="8" fontId="10" fillId="3" borderId="12" xfId="0" applyNumberFormat="1" applyFont="1" applyFill="1" applyBorder="1"/>
    <xf numFmtId="164" fontId="8" fillId="4" borderId="24" xfId="0" applyNumberFormat="1" applyFont="1" applyFill="1" applyBorder="1" applyAlignment="1">
      <alignment horizontal="center"/>
    </xf>
    <xf numFmtId="10" fontId="8" fillId="4" borderId="25" xfId="0" applyNumberFormat="1" applyFont="1" applyFill="1" applyBorder="1" applyAlignment="1">
      <alignment horizontal="center"/>
    </xf>
    <xf numFmtId="164" fontId="8" fillId="4" borderId="26" xfId="0" applyNumberFormat="1" applyFont="1" applyFill="1" applyBorder="1" applyAlignment="1">
      <alignment horizontal="center"/>
    </xf>
    <xf numFmtId="0" fontId="2" fillId="2" borderId="0" xfId="3" applyBorder="1" applyAlignment="1">
      <alignment horizontal="left" indent="2"/>
    </xf>
    <xf numFmtId="0" fontId="2" fillId="2" borderId="0" xfId="3" applyBorder="1" applyAlignment="1">
      <alignment horizontal="center"/>
    </xf>
    <xf numFmtId="0" fontId="2" fillId="2" borderId="0" xfId="3" applyBorder="1" applyAlignment="1">
      <alignment horizontal="left"/>
    </xf>
    <xf numFmtId="9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/>
    <xf numFmtId="0" fontId="0" fillId="6" borderId="0" xfId="0" applyFill="1"/>
    <xf numFmtId="164" fontId="3" fillId="5" borderId="0" xfId="0" applyNumberFormat="1" applyFont="1" applyFill="1" applyAlignment="1">
      <alignment horizontal="center"/>
    </xf>
    <xf numFmtId="164" fontId="3" fillId="6" borderId="0" xfId="1" applyNumberFormat="1" applyFont="1" applyFill="1" applyAlignment="1">
      <alignment horizontal="center"/>
    </xf>
    <xf numFmtId="164" fontId="0" fillId="6" borderId="0" xfId="0" applyNumberFormat="1" applyFill="1"/>
    <xf numFmtId="0" fontId="0" fillId="0" borderId="17" xfId="0" applyBorder="1"/>
    <xf numFmtId="0" fontId="0" fillId="0" borderId="17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2" fillId="2" borderId="0" xfId="3"/>
    <xf numFmtId="9" fontId="2" fillId="2" borderId="0" xfId="2" applyFont="1" applyFill="1"/>
    <xf numFmtId="0" fontId="7" fillId="3" borderId="20" xfId="0" applyFont="1" applyFill="1" applyBorder="1" applyAlignment="1">
      <alignment horizontal="left" indent="2"/>
    </xf>
    <xf numFmtId="0" fontId="7" fillId="3" borderId="21" xfId="0" applyFont="1" applyFill="1" applyBorder="1" applyAlignment="1">
      <alignment horizontal="left" indent="2"/>
    </xf>
    <xf numFmtId="0" fontId="7" fillId="3" borderId="22" xfId="0" applyFont="1" applyFill="1" applyBorder="1" applyAlignment="1">
      <alignment horizontal="left" indent="2"/>
    </xf>
    <xf numFmtId="0" fontId="7" fillId="3" borderId="27" xfId="0" applyFont="1" applyFill="1" applyBorder="1" applyAlignment="1">
      <alignment horizontal="left" indent="2"/>
    </xf>
    <xf numFmtId="0" fontId="7" fillId="0" borderId="20" xfId="0" applyFont="1" applyBorder="1" applyAlignment="1">
      <alignment horizontal="left" indent="2"/>
    </xf>
    <xf numFmtId="0" fontId="7" fillId="0" borderId="21" xfId="0" applyFont="1" applyBorder="1" applyAlignment="1">
      <alignment horizontal="left" indent="2"/>
    </xf>
    <xf numFmtId="0" fontId="7" fillId="0" borderId="18" xfId="0" applyFont="1" applyBorder="1" applyAlignment="1">
      <alignment horizontal="left" indent="2"/>
    </xf>
    <xf numFmtId="0" fontId="7" fillId="0" borderId="19" xfId="0" applyFont="1" applyBorder="1" applyAlignment="1">
      <alignment horizontal="left" indent="2"/>
    </xf>
    <xf numFmtId="0" fontId="9" fillId="3" borderId="20" xfId="0" applyFont="1" applyFill="1" applyBorder="1" applyAlignment="1">
      <alignment horizontal="left" indent="2"/>
    </xf>
    <xf numFmtId="0" fontId="9" fillId="3" borderId="21" xfId="0" applyFont="1" applyFill="1" applyBorder="1" applyAlignment="1">
      <alignment horizontal="left" indent="2"/>
    </xf>
    <xf numFmtId="0" fontId="9" fillId="3" borderId="22" xfId="0" applyFont="1" applyFill="1" applyBorder="1" applyAlignment="1">
      <alignment horizontal="left" indent="2"/>
    </xf>
    <xf numFmtId="0" fontId="9" fillId="3" borderId="23" xfId="0" applyFont="1" applyFill="1" applyBorder="1" applyAlignment="1">
      <alignment horizontal="left" indent="2"/>
    </xf>
    <xf numFmtId="0" fontId="6" fillId="7" borderId="1" xfId="0" applyFont="1" applyFill="1" applyBorder="1" applyAlignment="1">
      <alignment horizontal="center" vertical="top"/>
    </xf>
    <xf numFmtId="0" fontId="6" fillId="7" borderId="16" xfId="0" applyFont="1" applyFill="1" applyBorder="1" applyAlignment="1">
      <alignment horizontal="center" vertical="top"/>
    </xf>
    <xf numFmtId="0" fontId="6" fillId="7" borderId="2" xfId="0" applyFont="1" applyFill="1" applyBorder="1" applyAlignment="1">
      <alignment horizontal="center" vertical="top"/>
    </xf>
    <xf numFmtId="0" fontId="6" fillId="7" borderId="14" xfId="0" applyFont="1" applyFill="1" applyBorder="1" applyAlignment="1">
      <alignment horizontal="center" vertical="top"/>
    </xf>
    <xf numFmtId="0" fontId="6" fillId="7" borderId="17" xfId="0" applyFont="1" applyFill="1" applyBorder="1" applyAlignment="1">
      <alignment horizontal="center" vertical="top"/>
    </xf>
    <xf numFmtId="0" fontId="6" fillId="7" borderId="15" xfId="0" applyFont="1" applyFill="1" applyBorder="1" applyAlignment="1">
      <alignment horizontal="center" vertical="top"/>
    </xf>
    <xf numFmtId="0" fontId="11" fillId="7" borderId="28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4439488124805484E-2"/>
          <c:y val="5.3444900679327917E-2"/>
          <c:w val="0.78483943501221731"/>
          <c:h val="0.9465550993206720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248-40A9-86AF-43FED9A1EB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248-40A9-86AF-43FED9A1EB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248-40A9-86AF-43FED9A1EB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248-40A9-86AF-43FED9A1EB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248-40A9-86AF-43FED9A1EB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248-40A9-86AF-43FED9A1EB3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B-42E7-AB23-F70D4104667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C248-40A9-86AF-43FED9A1EB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C248-40A9-86AF-43FED9A1EB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C248-40A9-86AF-43FED9A1EB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C248-40A9-86AF-43FED9A1EB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C248-40A9-86AF-43FED9A1EB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C248-40A9-86AF-43FED9A1EB3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Planilha1!$D$36:$D$41</c:f>
              <c:numCache>
                <c:formatCode>"R$"\ #,##0.00</c:formatCode>
                <c:ptCount val="6"/>
                <c:pt idx="0">
                  <c:v>100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40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B-42E7-AB23-F70D410466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28703347825012"/>
          <c:y val="0.17629204099457246"/>
          <c:w val="0.21738233663549247"/>
          <c:h val="0.5696774980900238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122105</xdr:colOff>
      <xdr:row>42</xdr:row>
      <xdr:rowOff>120328</xdr:rowOff>
    </xdr:from>
    <xdr:to>
      <xdr:col>3</xdr:col>
      <xdr:colOff>829235</xdr:colOff>
      <xdr:row>56</xdr:row>
      <xdr:rowOff>67235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03A626-62BE-2375-B8B5-E3453E280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515470</xdr:colOff>
      <xdr:row>0</xdr:row>
      <xdr:rowOff>123265</xdr:rowOff>
    </xdr:from>
    <xdr:to>
      <xdr:col>3</xdr:col>
      <xdr:colOff>493059</xdr:colOff>
      <xdr:row>8</xdr:row>
      <xdr:rowOff>67236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BA7CCF1-D71F-1A7D-7641-C0612FFB7C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36" t="28239" r="17098" b="40934"/>
        <a:stretch>
          <a:fillRect/>
        </a:stretch>
      </xdr:blipFill>
      <xdr:spPr>
        <a:xfrm>
          <a:off x="1123605" y="123265"/>
          <a:ext cx="4989204" cy="1467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F518-89C7-485B-AFE5-88E30DC3B137}">
  <dimension ref="A9:XFC42"/>
  <sheetViews>
    <sheetView showGridLines="0" tabSelected="1" zoomScale="130" zoomScaleNormal="130" zoomScaleSheetLayoutView="85" workbookViewId="0">
      <selection activeCell="D6" sqref="D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9.140625" customWidth="1"/>
    <col min="2" max="2" width="53.140625" customWidth="1"/>
    <col min="3" max="3" width="22" customWidth="1"/>
    <col min="4" max="4" width="15.7109375" customWidth="1"/>
    <col min="5" max="5" width="5.42578125" customWidth="1"/>
    <col min="6" max="6" width="2.85546875" customWidth="1"/>
    <col min="7" max="7" width="1.85546875" customWidth="1"/>
    <col min="8" max="8" width="2.42578125" customWidth="1"/>
    <col min="9" max="11" width="9.140625" hidden="1" customWidth="1"/>
    <col min="12" max="16381" width="9.140625" hidden="1"/>
    <col min="16383" max="16383" width="9.140625" hidden="1"/>
    <col min="16384" max="16384" width="31" hidden="1" customWidth="1"/>
  </cols>
  <sheetData>
    <row r="9" spans="2:4" ht="15.75" thickBot="1" x14ac:dyDescent="0.3"/>
    <row r="10" spans="2:4" ht="15.75" customHeight="1" x14ac:dyDescent="0.25">
      <c r="B10" s="57" t="s">
        <v>12</v>
      </c>
      <c r="C10" s="58"/>
      <c r="D10" s="59"/>
    </row>
    <row r="11" spans="2:4" ht="15.75" customHeight="1" thickBot="1" x14ac:dyDescent="0.3">
      <c r="B11" s="60"/>
      <c r="C11" s="61"/>
      <c r="D11" s="62"/>
    </row>
    <row r="12" spans="2:4" ht="18" thickBot="1" x14ac:dyDescent="0.35">
      <c r="B12" s="37" t="s">
        <v>14</v>
      </c>
      <c r="C12" s="38"/>
      <c r="D12" s="19">
        <v>2000</v>
      </c>
    </row>
    <row r="13" spans="2:4" ht="18" thickBot="1" x14ac:dyDescent="0.35">
      <c r="B13" s="37" t="s">
        <v>13</v>
      </c>
      <c r="C13" s="38"/>
      <c r="D13" s="20">
        <v>6.0000000000000001E-3</v>
      </c>
    </row>
    <row r="14" spans="2:4" ht="18" thickBot="1" x14ac:dyDescent="0.35">
      <c r="B14" s="39" t="s">
        <v>15</v>
      </c>
      <c r="C14" s="40"/>
      <c r="D14" s="21">
        <f>salario*30%</f>
        <v>600</v>
      </c>
    </row>
    <row r="15" spans="2:4" ht="15.75" thickBot="1" x14ac:dyDescent="0.3">
      <c r="C15" s="3"/>
    </row>
    <row r="16" spans="2:4" ht="15" customHeight="1" x14ac:dyDescent="0.25">
      <c r="B16" s="49" t="s">
        <v>0</v>
      </c>
      <c r="C16" s="50"/>
      <c r="D16" s="51"/>
    </row>
    <row r="17" spans="1:4" ht="15" customHeight="1" thickBot="1" x14ac:dyDescent="0.3">
      <c r="B17" s="52"/>
      <c r="C17" s="53"/>
      <c r="D17" s="54"/>
    </row>
    <row r="18" spans="1:4" ht="15" customHeight="1" thickBot="1" x14ac:dyDescent="0.35">
      <c r="B18" s="43" t="s">
        <v>1</v>
      </c>
      <c r="C18" s="44"/>
      <c r="D18" s="5">
        <v>200</v>
      </c>
    </row>
    <row r="19" spans="1:4" ht="18" thickBot="1" x14ac:dyDescent="0.35">
      <c r="B19" s="41" t="s">
        <v>2</v>
      </c>
      <c r="C19" s="42"/>
      <c r="D19" s="6">
        <v>5</v>
      </c>
    </row>
    <row r="20" spans="1:4" ht="18" thickBot="1" x14ac:dyDescent="0.35">
      <c r="B20" s="41" t="s">
        <v>3</v>
      </c>
      <c r="C20" s="42"/>
      <c r="D20" s="7">
        <v>1.0789999999999999E-2</v>
      </c>
    </row>
    <row r="21" spans="1:4" ht="18" thickBot="1" x14ac:dyDescent="0.35">
      <c r="B21" s="45" t="s">
        <v>16</v>
      </c>
      <c r="C21" s="46"/>
      <c r="D21" s="8">
        <f>FV(taxa_mensal,qtd_anos*12,aporte*-1)</f>
        <v>16755.382799697527</v>
      </c>
    </row>
    <row r="22" spans="1:4" ht="18" thickBot="1" x14ac:dyDescent="0.35">
      <c r="B22" s="47" t="s">
        <v>4</v>
      </c>
      <c r="C22" s="48"/>
      <c r="D22" s="9">
        <f>patrimonio*rendimento_carteira</f>
        <v>100.53229679818516</v>
      </c>
    </row>
    <row r="23" spans="1:4" ht="15.75" thickBot="1" x14ac:dyDescent="0.3">
      <c r="B23" s="4"/>
      <c r="C23" s="4"/>
    </row>
    <row r="24" spans="1:4" ht="15" customHeight="1" x14ac:dyDescent="0.25">
      <c r="B24" s="49" t="s">
        <v>9</v>
      </c>
      <c r="C24" s="50"/>
      <c r="D24" s="55" t="s">
        <v>11</v>
      </c>
    </row>
    <row r="25" spans="1:4" ht="15" customHeight="1" thickBot="1" x14ac:dyDescent="0.3">
      <c r="B25" s="52"/>
      <c r="C25" s="53"/>
      <c r="D25" s="56"/>
    </row>
    <row r="26" spans="1:4" ht="18" thickBot="1" x14ac:dyDescent="0.35">
      <c r="A26" s="2">
        <v>2</v>
      </c>
      <c r="B26" s="10" t="s">
        <v>5</v>
      </c>
      <c r="C26" s="11">
        <f>FV($D$20,$A26*12,$D$18*-1)</f>
        <v>5445.5254595290435</v>
      </c>
      <c r="D26" s="12">
        <f>C26*rendimento_carteira</f>
        <v>32.673152757174265</v>
      </c>
    </row>
    <row r="27" spans="1:4" ht="18" thickBot="1" x14ac:dyDescent="0.35">
      <c r="A27" s="2">
        <v>5</v>
      </c>
      <c r="B27" s="13" t="s">
        <v>6</v>
      </c>
      <c r="C27" s="14">
        <f>FV($D$20,$A27*12,$D$18*-1)</f>
        <v>16755.382799697527</v>
      </c>
      <c r="D27" s="15">
        <f>C27*rendimento_carteira</f>
        <v>100.53229679818516</v>
      </c>
    </row>
    <row r="28" spans="1:4" ht="18" thickBot="1" x14ac:dyDescent="0.35">
      <c r="A28" s="2">
        <v>10</v>
      </c>
      <c r="B28" s="13" t="s">
        <v>7</v>
      </c>
      <c r="C28" s="14">
        <f>FV($D$20,$A28*12,$D$18*-1)</f>
        <v>48656.842506034438</v>
      </c>
      <c r="D28" s="15">
        <f>C28*rendimento_carteira</f>
        <v>291.94105503620665</v>
      </c>
    </row>
    <row r="29" spans="1:4" ht="18" thickBot="1" x14ac:dyDescent="0.35">
      <c r="A29" s="2">
        <v>20</v>
      </c>
      <c r="B29" s="13" t="s">
        <v>8</v>
      </c>
      <c r="C29" s="14">
        <f>FV($D$20,$A29*12,$D$18*-1)</f>
        <v>225039.68001941612</v>
      </c>
      <c r="D29" s="15">
        <f>C29*rendimento_carteira</f>
        <v>1350.2380801164968</v>
      </c>
    </row>
    <row r="30" spans="1:4" ht="18" thickBot="1" x14ac:dyDescent="0.35">
      <c r="A30" s="2">
        <v>30</v>
      </c>
      <c r="B30" s="16" t="s">
        <v>10</v>
      </c>
      <c r="C30" s="17">
        <f>FV($D$20,$A30*12,$D$18*-1)</f>
        <v>864433.93100094295</v>
      </c>
      <c r="D30" s="18">
        <f>C30*rendimento_carteira</f>
        <v>5186.6035860056581</v>
      </c>
    </row>
    <row r="32" spans="1:4" x14ac:dyDescent="0.25">
      <c r="B32" s="24" t="s">
        <v>20</v>
      </c>
      <c r="C32" s="23" t="s">
        <v>17</v>
      </c>
      <c r="D32" s="22"/>
    </row>
    <row r="33" spans="2:4" x14ac:dyDescent="0.25">
      <c r="B33" s="27" t="s">
        <v>19</v>
      </c>
      <c r="C33" s="30">
        <f>aporte</f>
        <v>200</v>
      </c>
      <c r="D33" s="28"/>
    </row>
    <row r="35" spans="2:4" x14ac:dyDescent="0.25">
      <c r="B35" s="26" t="s">
        <v>21</v>
      </c>
      <c r="C35" s="26" t="s">
        <v>22</v>
      </c>
      <c r="D35" s="26" t="s">
        <v>23</v>
      </c>
    </row>
    <row r="36" spans="2:4" x14ac:dyDescent="0.25">
      <c r="B36" s="1" t="s">
        <v>24</v>
      </c>
      <c r="C36" s="25">
        <f>VLOOKUP($C$32&amp;"-"&amp;B36,Apoio!$A:$D,4,FALSE)</f>
        <v>0.5</v>
      </c>
      <c r="D36" s="31">
        <f>C36*C$33</f>
        <v>100</v>
      </c>
    </row>
    <row r="37" spans="2:4" x14ac:dyDescent="0.25">
      <c r="B37" s="1" t="s">
        <v>25</v>
      </c>
      <c r="C37" s="25">
        <f>VLOOKUP($C$32&amp;"-"&amp;B37,Apoio!$A:$D,4,FALSE)</f>
        <v>0.1</v>
      </c>
      <c r="D37" s="31">
        <f t="shared" ref="D37:D41" si="0">C37*C$33</f>
        <v>20</v>
      </c>
    </row>
    <row r="38" spans="2:4" x14ac:dyDescent="0.25">
      <c r="B38" s="1" t="s">
        <v>26</v>
      </c>
      <c r="C38" s="25">
        <f>VLOOKUP($C$32&amp;"-"&amp;B38,Apoio!$A:$D,4,FALSE)</f>
        <v>0.05</v>
      </c>
      <c r="D38" s="31">
        <f t="shared" si="0"/>
        <v>10</v>
      </c>
    </row>
    <row r="39" spans="2:4" x14ac:dyDescent="0.25">
      <c r="B39" s="1" t="s">
        <v>27</v>
      </c>
      <c r="C39" s="25">
        <f>VLOOKUP($C$32&amp;"-"&amp;B39,Apoio!$A:$D,4,FALSE)</f>
        <v>0.05</v>
      </c>
      <c r="D39" s="31">
        <f t="shared" si="0"/>
        <v>10</v>
      </c>
    </row>
    <row r="40" spans="2:4" x14ac:dyDescent="0.25">
      <c r="B40" s="1" t="s">
        <v>28</v>
      </c>
      <c r="C40" s="25">
        <f>VLOOKUP($C$32&amp;"-"&amp;B40,Apoio!$A:$D,4,FALSE)</f>
        <v>0.2</v>
      </c>
      <c r="D40" s="31">
        <f t="shared" si="0"/>
        <v>40</v>
      </c>
    </row>
    <row r="41" spans="2:4" x14ac:dyDescent="0.25">
      <c r="B41" s="1" t="s">
        <v>29</v>
      </c>
      <c r="C41" s="25">
        <f>VLOOKUP($C$32&amp;"-"&amp;B41,Apoio!$A:$D,4,FALSE)</f>
        <v>0.1</v>
      </c>
      <c r="D41" s="31">
        <f t="shared" si="0"/>
        <v>20</v>
      </c>
    </row>
    <row r="42" spans="2:4" x14ac:dyDescent="0.25">
      <c r="B42" s="26"/>
      <c r="C42" s="26"/>
      <c r="D42" s="29">
        <f>SUM(D36:D41)</f>
        <v>200</v>
      </c>
    </row>
  </sheetData>
  <mergeCells count="12">
    <mergeCell ref="D24:D25"/>
    <mergeCell ref="B10:D11"/>
    <mergeCell ref="B12:C12"/>
    <mergeCell ref="B13:C13"/>
    <mergeCell ref="B14:C14"/>
    <mergeCell ref="B19:C19"/>
    <mergeCell ref="B24:C25"/>
    <mergeCell ref="B18:C18"/>
    <mergeCell ref="B20:C20"/>
    <mergeCell ref="B21:C21"/>
    <mergeCell ref="B22:C22"/>
    <mergeCell ref="B16:D17"/>
  </mergeCells>
  <dataValidations count="1">
    <dataValidation type="list" allowBlank="1" showInputMessage="1" showErrorMessage="1" sqref="C32" xr:uid="{550697B6-C3B8-4689-9688-FF244D060A6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893A-95B9-4FB7-851F-8BB715B334DB}">
  <dimension ref="A1:H19"/>
  <sheetViews>
    <sheetView zoomScale="190" zoomScaleNormal="190" workbookViewId="0">
      <selection activeCell="G1" sqref="G1:H3"/>
    </sheetView>
  </sheetViews>
  <sheetFormatPr defaultRowHeight="15" x14ac:dyDescent="0.25"/>
  <cols>
    <col min="1" max="1" width="30.85546875" bestFit="1" customWidth="1"/>
    <col min="2" max="2" width="14.42578125" bestFit="1" customWidth="1"/>
    <col min="3" max="3" width="18.5703125" bestFit="1" customWidth="1"/>
    <col min="4" max="4" width="9.140625" style="1"/>
    <col min="7" max="7" width="16.85546875" bestFit="1" customWidth="1"/>
  </cols>
  <sheetData>
    <row r="1" spans="1:8" x14ac:dyDescent="0.25">
      <c r="A1" t="s">
        <v>32</v>
      </c>
      <c r="B1" s="1" t="s">
        <v>20</v>
      </c>
      <c r="C1" s="1" t="s">
        <v>21</v>
      </c>
      <c r="D1" s="1" t="s">
        <v>31</v>
      </c>
      <c r="H1" t="s">
        <v>31</v>
      </c>
    </row>
    <row r="2" spans="1:8" x14ac:dyDescent="0.25">
      <c r="A2" t="str">
        <f>B2&amp;"-"&amp;C2</f>
        <v>Conservador-PAPEL</v>
      </c>
      <c r="B2" t="s">
        <v>30</v>
      </c>
      <c r="C2" s="1" t="s">
        <v>24</v>
      </c>
      <c r="D2" s="25">
        <v>0.3</v>
      </c>
    </row>
    <row r="3" spans="1:8" x14ac:dyDescent="0.25">
      <c r="A3" t="str">
        <f t="shared" ref="A3:A19" si="0">B3&amp;"-"&amp;C3</f>
        <v>Conservador-TIJOLO</v>
      </c>
      <c r="B3" t="s">
        <v>30</v>
      </c>
      <c r="C3" s="1" t="s">
        <v>25</v>
      </c>
      <c r="D3" s="25">
        <v>0.5</v>
      </c>
      <c r="G3" s="35" t="s">
        <v>33</v>
      </c>
      <c r="H3" s="36">
        <f>VLOOKUP(G3,$A:$D,4,FALSE)</f>
        <v>0.35</v>
      </c>
    </row>
    <row r="4" spans="1:8" x14ac:dyDescent="0.25">
      <c r="A4" t="str">
        <f t="shared" si="0"/>
        <v>Conservador-HÍBRIDOS</v>
      </c>
      <c r="B4" t="s">
        <v>30</v>
      </c>
      <c r="C4" s="1" t="s">
        <v>26</v>
      </c>
      <c r="D4" s="25">
        <v>0.1</v>
      </c>
    </row>
    <row r="5" spans="1:8" x14ac:dyDescent="0.25">
      <c r="A5" t="str">
        <f t="shared" si="0"/>
        <v>Conservador-FOFs</v>
      </c>
      <c r="B5" t="s">
        <v>30</v>
      </c>
      <c r="C5" s="1" t="s">
        <v>27</v>
      </c>
      <c r="D5" s="25">
        <v>0.1</v>
      </c>
    </row>
    <row r="6" spans="1:8" x14ac:dyDescent="0.25">
      <c r="A6" t="str">
        <f t="shared" si="0"/>
        <v>Conservador-DESENVOLVIMENTO</v>
      </c>
      <c r="B6" t="s">
        <v>30</v>
      </c>
      <c r="C6" s="1" t="s">
        <v>28</v>
      </c>
      <c r="D6" s="25">
        <v>0</v>
      </c>
    </row>
    <row r="7" spans="1:8" ht="15.75" thickBot="1" x14ac:dyDescent="0.3">
      <c r="A7" s="32" t="str">
        <f t="shared" si="0"/>
        <v>Conservador-HOTELARIAS</v>
      </c>
      <c r="B7" s="32" t="s">
        <v>30</v>
      </c>
      <c r="C7" s="33" t="s">
        <v>29</v>
      </c>
      <c r="D7" s="34">
        <v>0</v>
      </c>
    </row>
    <row r="8" spans="1:8" x14ac:dyDescent="0.25">
      <c r="A8" t="str">
        <f t="shared" si="0"/>
        <v>Moderado-PAPEL</v>
      </c>
      <c r="B8" t="s">
        <v>18</v>
      </c>
      <c r="C8" s="1" t="s">
        <v>24</v>
      </c>
      <c r="D8" s="25">
        <v>0.32</v>
      </c>
    </row>
    <row r="9" spans="1:8" x14ac:dyDescent="0.25">
      <c r="A9" t="str">
        <f t="shared" si="0"/>
        <v>Moderado-TIJOLO</v>
      </c>
      <c r="B9" t="s">
        <v>18</v>
      </c>
      <c r="C9" s="1" t="s">
        <v>25</v>
      </c>
      <c r="D9" s="25">
        <v>0.35</v>
      </c>
    </row>
    <row r="10" spans="1:8" x14ac:dyDescent="0.25">
      <c r="A10" t="str">
        <f t="shared" si="0"/>
        <v>Moderado-HÍBRIDOS</v>
      </c>
      <c r="B10" t="s">
        <v>18</v>
      </c>
      <c r="C10" s="1" t="s">
        <v>26</v>
      </c>
      <c r="D10" s="25">
        <v>0.08</v>
      </c>
    </row>
    <row r="11" spans="1:8" x14ac:dyDescent="0.25">
      <c r="A11" t="str">
        <f t="shared" si="0"/>
        <v>Moderado-FOFs</v>
      </c>
      <c r="B11" t="s">
        <v>18</v>
      </c>
      <c r="C11" s="1" t="s">
        <v>27</v>
      </c>
      <c r="D11" s="25">
        <v>0.05</v>
      </c>
    </row>
    <row r="12" spans="1:8" x14ac:dyDescent="0.25">
      <c r="A12" t="str">
        <f t="shared" si="0"/>
        <v>Moderado-DESENVOLVIMENTO</v>
      </c>
      <c r="B12" t="s">
        <v>18</v>
      </c>
      <c r="C12" s="1" t="s">
        <v>28</v>
      </c>
      <c r="D12" s="25">
        <v>0.1</v>
      </c>
    </row>
    <row r="13" spans="1:8" ht="15.75" thickBot="1" x14ac:dyDescent="0.3">
      <c r="A13" s="32" t="str">
        <f t="shared" si="0"/>
        <v>Moderado-HOTELARIAS</v>
      </c>
      <c r="B13" s="32" t="s">
        <v>18</v>
      </c>
      <c r="C13" s="33" t="s">
        <v>29</v>
      </c>
      <c r="D13" s="34">
        <v>0.1</v>
      </c>
    </row>
    <row r="14" spans="1:8" x14ac:dyDescent="0.25">
      <c r="A14" t="str">
        <f t="shared" si="0"/>
        <v>Agressivo-PAPEL</v>
      </c>
      <c r="B14" t="s">
        <v>17</v>
      </c>
      <c r="C14" s="1" t="s">
        <v>24</v>
      </c>
      <c r="D14" s="25">
        <v>0.5</v>
      </c>
    </row>
    <row r="15" spans="1:8" x14ac:dyDescent="0.25">
      <c r="A15" t="str">
        <f t="shared" si="0"/>
        <v>Agressivo-TIJOLO</v>
      </c>
      <c r="B15" t="s">
        <v>17</v>
      </c>
      <c r="C15" s="1" t="s">
        <v>25</v>
      </c>
      <c r="D15" s="25">
        <v>0.1</v>
      </c>
    </row>
    <row r="16" spans="1:8" x14ac:dyDescent="0.25">
      <c r="A16" t="str">
        <f t="shared" si="0"/>
        <v>Agressivo-HÍBRIDOS</v>
      </c>
      <c r="B16" t="s">
        <v>17</v>
      </c>
      <c r="C16" s="1" t="s">
        <v>26</v>
      </c>
      <c r="D16" s="25">
        <v>0.05</v>
      </c>
    </row>
    <row r="17" spans="1:4" x14ac:dyDescent="0.25">
      <c r="A17" t="str">
        <f t="shared" si="0"/>
        <v>Agressivo-FOFs</v>
      </c>
      <c r="B17" t="s">
        <v>17</v>
      </c>
      <c r="C17" s="1" t="s">
        <v>27</v>
      </c>
      <c r="D17" s="25">
        <v>0.05</v>
      </c>
    </row>
    <row r="18" spans="1:4" x14ac:dyDescent="0.25">
      <c r="A18" t="str">
        <f t="shared" si="0"/>
        <v>Agressivo-DESENVOLVIMENTO</v>
      </c>
      <c r="B18" t="s">
        <v>17</v>
      </c>
      <c r="C18" s="1" t="s">
        <v>28</v>
      </c>
      <c r="D18" s="25">
        <v>0.2</v>
      </c>
    </row>
    <row r="19" spans="1:4" x14ac:dyDescent="0.25">
      <c r="A19" t="str">
        <f t="shared" si="0"/>
        <v>Agressivo-HOTELARIAS</v>
      </c>
      <c r="B19" t="s">
        <v>17</v>
      </c>
      <c r="C19" s="1" t="s">
        <v>29</v>
      </c>
      <c r="D19" s="2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Apoio</vt:lpstr>
      <vt:lpstr>aporte</vt:lpstr>
      <vt:lpstr>dividendos_mensais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Gabriel de Oliveira Martins</dc:creator>
  <cp:lastModifiedBy>Bruno Gabriel de Oliveira Martins</cp:lastModifiedBy>
  <dcterms:created xsi:type="dcterms:W3CDTF">2026-01-10T21:36:34Z</dcterms:created>
  <dcterms:modified xsi:type="dcterms:W3CDTF">2026-01-11T00:39:54Z</dcterms:modified>
</cp:coreProperties>
</file>